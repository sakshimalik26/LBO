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da69f1bbd4e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a1b4e177ed52444d"/>
    <x:sheet xmlns:r="http://schemas.openxmlformats.org/officeDocument/2006/relationships" name="Worked solution" sheetId="2" r:id="R5b158a88b0de43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&quot;FY&quot;yyyy&quot;A&quot;"/>
    <x:numFmt numFmtId="201" formatCode="&quot;FY&quot;yyyy&quot;E&quot;"/>
    <x:numFmt numFmtId="202" formatCode="#,##0.00;(#,##0.00);&quot;-&quot;"/>
    <x:numFmt numFmtId="203" formatCode="0.0%"/>
    <x:numFmt numFmtId="204" formatCode="0.0%;(0.0%);&quot;-&quot;"/>
    <x:numFmt numFmtId="205" formatCode="0.00&quot;x&quot;"/>
    <x:numFmt numFmtId="206" formatCode="0"/>
  </x:numFmts>
  <x:fonts count="9">
    <x:font>
      <x:sz val="11"/>
      <x:name val="Carlito"/>
    </x:font>
    <x:font>
      <x:sz val="11"/>
      <x:color rgb="FF182C40"/>
      <x:name val="Arial"/>
    </x:font>
    <x:font>
      <x:b/>
      <x:sz val="16"/>
      <x:color rgb="FF182C40"/>
      <x:name val="Arial"/>
    </x:font>
    <x:font>
      <x:i/>
      <x:sz val="10"/>
      <x:color rgb="FF52677B"/>
      <x:name val="Arial"/>
    </x:font>
    <x:font>
      <x:b/>
      <x:sz val="11"/>
      <x:color rgb="FFFFFFFF"/>
      <x:name val="Arial"/>
    </x:font>
    <x:font>
      <x:b/>
      <x:sz val="11"/>
      <x:color rgb="FF182C40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84F"/>
      </x:patternFill>
    </x:fill>
    <x:fill>
      <x:patternFill patternType="solid">
        <x:fgColor rgb="FFEEF8F2"/>
      </x:patternFill>
    </x:fill>
    <x:fill>
      <x:patternFill patternType="solid">
        <x:fgColor rgb="FFF2F5F8"/>
      </x:patternFill>
    </x:fill>
  </x:fills>
  <x:borders count="3">
    <x:border/>
    <x:border>
      <x:bottom style="thin">
        <x:color rgb="FF18384F"/>
      </x:bottom>
    </x:border>
    <x:border>
      <x:top style="thin">
        <x:color rgb="FFA8B7C3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1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1" fillId="4" borderId="0" xfId="0" applyNumberFormat="1" applyFont="1" applyFill="1" applyBorder="1"/>
    <x:xf numFmtId="202" fontId="1" fillId="4" borderId="0" xfId="0" applyNumberFormat="1" applyFont="1" applyFill="1" applyBorder="1"/>
    <x:xf numFmtId="203" fontId="1" fillId="3" borderId="0" xfId="0" applyNumberFormat="1" applyFont="1" applyFill="1" applyBorder="1"/>
    <x:xf numFmtId="203" fontId="1" fillId="4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2" fontId="5" fillId="4" borderId="0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202" fontId="5" fillId="4" borderId="2" xfId="0" applyNumberFormat="1" applyFont="1" applyFill="1" applyBorder="1"/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203" fontId="5" fillId="4" borderId="0" xfId="0" applyNumberFormat="1" applyFont="1" applyFill="1" applyBorder="1"/>
    <x:xf numFmtId="203" fontId="5" fillId="4" borderId="2" xfId="0" applyNumberFormat="1" applyFont="1" applyFill="1" applyBorder="1"/>
    <x:xf numFmtId="0" fontId="6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/>
    <x:xf numFmtId="202" fontId="7" fillId="0" borderId="0" xfId="0" applyNumberFormat="1" applyFont="1" applyFill="1" applyBorder="1"/>
    <x:xf numFmtId="202" fontId="7" fillId="0" borderId="0" xfId="0" applyNumberFormat="1" applyFont="1" applyFill="1" applyBorder="1" applyAlignment="1">
      <x:alignment horizontal="right"/>
    </x:xf>
    <x:xf numFmtId="204" fontId="6" fillId="0" borderId="0" xfId="0" applyNumberFormat="1" applyFont="1" applyFill="1" applyBorder="1"/>
    <x:xf numFmtId="204" fontId="6" fillId="0" borderId="0" xfId="0" applyNumberFormat="1" applyFont="1" applyFill="1" applyBorder="1" applyAlignment="1">
      <x:alignment horizontal="right"/>
    </x:xf>
    <x:xf numFmtId="205" fontId="6" fillId="0" borderId="0" xfId="0" applyNumberFormat="1" applyFont="1" applyFill="1" applyBorder="1"/>
    <x:xf numFmtId="205" fontId="6" fillId="0" borderId="0" xfId="0" applyNumberFormat="1" applyFont="1" applyFill="1" applyBorder="1" applyAlignment="1">
      <x:alignment horizontal="right"/>
    </x:xf>
    <x:xf numFmtId="206" fontId="6" fillId="0" borderId="0" xfId="0" applyNumberFormat="1" applyFont="1" applyFill="1" applyBorder="1"/>
    <x:xf numFmtId="206" fontId="6" fillId="0" borderId="0" xfId="0" applyNumberFormat="1" applyFont="1" applyFill="1" applyBorder="1" applyAlignment="1">
      <x:alignment horizontal="right"/>
    </x:xf>
    <x:xf numFmtId="205" fontId="7" fillId="0" borderId="0" xfId="0" applyNumberFormat="1" applyFont="1" applyFill="1" applyBorder="1"/>
    <x:xf numFmtId="205" fontId="7" fillId="0" borderId="0" xfId="0" applyNumberFormat="1" applyFont="1" applyFill="1" applyBorder="1" applyAlignment="1">
      <x:alignment horizontal="right"/>
    </x:xf>
    <x:xf numFmtId="204" fontId="7" fillId="0" borderId="0" xfId="0" applyNumberFormat="1" applyFont="1" applyFill="1" applyBorder="1"/>
    <x:xf numFmtId="204" fontId="7" fillId="0" borderId="0" xfId="0" applyNumberFormat="1" applyFont="1" applyFill="1" applyBorder="1" applyAlignment="1">
      <x:alignment horizontal="right"/>
    </x:xf>
    <x:xf numFmtId="202" fontId="8" fillId="0" borderId="0" xfId="0" applyNumberFormat="1" applyFont="1" applyFill="1" applyBorder="1" applyAlignment="1">
      <x:alignment horizontal="right"/>
    </x:xf>
    <x:xf numFmtId="202" fontId="8" fillId="0" borderId="2" xfId="0" applyNumberFormat="1" applyFont="1" applyFill="1" applyBorder="1" applyAlignment="1">
      <x:alignment horizontal="right"/>
    </x:xf>
    <x:xf numFmtId="205" fontId="8" fillId="0" borderId="0" xfId="0" applyNumberFormat="1" applyFont="1" applyFill="1" applyBorder="1" applyAlignment="1">
      <x:alignment horizontal="right"/>
    </x:xf>
    <x:xf numFmtId="205" fontId="8" fillId="0" borderId="2" xfId="0" applyNumberFormat="1" applyFont="1" applyFill="1" applyBorder="1" applyAlignment="1">
      <x:alignment horizontal="right"/>
    </x:xf>
    <x:xf numFmtId="204" fontId="8" fillId="0" borderId="0" xfId="0" applyNumberFormat="1" applyFont="1" applyFill="1" applyBorder="1" applyAlignment="1">
      <x:alignment horizontal="right"/>
    </x:xf>
    <x:xf numFmtId="204" fontId="8" fillId="0" borderId="2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6926dfc814d5d" /><Relationship Type="http://schemas.openxmlformats.org/officeDocument/2006/relationships/theme" Target="/xl/theme/theme1.xml" Id="Raafe7a933c2b4b58" /><Relationship Type="http://schemas.openxmlformats.org/officeDocument/2006/relationships/sharedStrings" Target="/xl/sharedStrings.xml" Id="R8ec3b8182eb94bed" /><Relationship Type="http://schemas.openxmlformats.org/officeDocument/2006/relationships/worksheet" Target="/xl/worksheets/sheet1.xml" Id="Ra1b4e177ed52444d" /><Relationship Type="http://schemas.openxmlformats.org/officeDocument/2006/relationships/worksheet" Target="/xl/worksheets/sheet2.xml" Id="R5b158a88b0de43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8" customHeight="1">
      <x:c r="A2" s="3" t="str">
        <x:v>CedarPack beginner LBO</x:v>
      </x:c>
      <x:c r="B2" s="3"/>
      <x:c r="C2" s="3"/>
      <x:c r="D2" s="3"/>
      <x:c r="E2" s="3"/>
      <x:c r="F2" s="3"/>
      <x:c r="G2" s="3"/>
      <x:c r="H2" s="3"/>
      <x:c r="I2" s="3"/>
    </x:row>
    <x:row r="3" ht="22" customHeight="1">
      <x:c r="A3" s="4" t="str">
        <x:v>INR crore. Years ended 31 March. Fictional classroom case.</x:v>
      </x:c>
      <x:c r="B3" s="4"/>
      <x:c r="C3" s="4"/>
      <x:c r="D3" s="4"/>
      <x:c r="E3" s="4"/>
      <x:c r="F3" s="4"/>
      <x:c r="G3" s="4"/>
      <x:c r="H3" s="4"/>
      <x:c r="I3" s="4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5" customHeight="1">
      <x:c r="A6" s="10" t="str">
        <x:v>Line item</x:v>
      </x:c>
      <x:c r="B6" s="11" t="n">
        <x:v>45382</x:v>
      </x:c>
      <x:c r="C6" s="11" t="n">
        <x:v>45747</x:v>
      </x:c>
      <x:c r="D6" s="11" t="n">
        <x:v>46112</x:v>
      </x:c>
      <x:c r="E6" s="12" t="n">
        <x:v>46477</x:v>
      </x:c>
      <x:c r="F6" s="12" t="n">
        <x:v>46843</x:v>
      </x:c>
      <x:c r="G6" s="12" t="n">
        <x:v>47208</x:v>
      </x:c>
      <x:c r="H6" s="12" t="n">
        <x:v>47573</x:v>
      </x:c>
      <x:c r="I6" s="12" t="n">
        <x:v>47938</x:v>
      </x:c>
    </x:row>
    <x:row r="7" ht="30" customHeight="1">
      <x:c r="A7" s="13" t="str">
        <x:v>Revenue</x:v>
      </x:c>
      <x:c r="B7" s="15"/>
      <x:c r="C7" s="15"/>
      <x:c r="D7" s="15"/>
      <x:c r="E7" s="17"/>
      <x:c r="F7" s="17"/>
      <x:c r="G7" s="17"/>
      <x:c r="H7" s="17"/>
      <x:c r="I7" s="17"/>
    </x:row>
    <x:row r="8" ht="30" customHeight="1">
      <x:c r="A8" s="13" t="str">
        <x:v>Cost of goods sold</x:v>
      </x:c>
      <x:c r="B8" s="15"/>
      <x:c r="C8" s="15"/>
      <x:c r="D8" s="15"/>
      <x:c r="E8" s="17"/>
      <x:c r="F8" s="17"/>
      <x:c r="G8" s="17"/>
      <x:c r="H8" s="17"/>
      <x:c r="I8" s="17"/>
    </x:row>
    <x:row r="9" ht="30" customHeight="1">
      <x:c r="A9" s="13" t="str">
        <x:v>Gross profit</x:v>
      </x:c>
      <x:c r="B9" s="17"/>
      <x:c r="C9" s="17"/>
      <x:c r="D9" s="17"/>
      <x:c r="E9" s="17"/>
      <x:c r="F9" s="17"/>
      <x:c r="G9" s="17"/>
      <x:c r="H9" s="17"/>
      <x:c r="I9" s="17"/>
    </x:row>
    <x:row r="10" ht="30" customHeight="1">
      <x:c r="A10" s="13" t="str">
        <x:v>Operating expenses (excluding D&amp;A)</x:v>
      </x:c>
      <x:c r="B10" s="15"/>
      <x:c r="C10" s="15"/>
      <x:c r="D10" s="15"/>
      <x:c r="E10" s="17"/>
      <x:c r="F10" s="17"/>
      <x:c r="G10" s="17"/>
      <x:c r="H10" s="17"/>
      <x:c r="I10" s="17"/>
    </x:row>
    <x:row r="11" ht="30" customHeight="1">
      <x:c r="A11" s="24" t="str">
        <x:v>EBITDA</x:v>
      </x:c>
      <x:c r="B11" s="25"/>
      <x:c r="C11" s="25"/>
      <x:c r="D11" s="25"/>
      <x:c r="E11" s="25"/>
      <x:c r="F11" s="25"/>
      <x:c r="G11" s="25"/>
      <x:c r="H11" s="25"/>
      <x:c r="I11" s="25"/>
    </x:row>
    <x:row r="12" ht="30" customHeight="1">
      <x:c r="A12" s="13" t="str">
        <x:v>Depreciation &amp; amortization</x:v>
      </x:c>
      <x:c r="B12" s="15"/>
      <x:c r="C12" s="15"/>
      <x:c r="D12" s="15"/>
      <x:c r="E12" s="17"/>
      <x:c r="F12" s="17"/>
      <x:c r="G12" s="17"/>
      <x:c r="H12" s="17"/>
      <x:c r="I12" s="17"/>
    </x:row>
    <x:row r="13" ht="30" customHeight="1">
      <x:c r="A13" s="24" t="str">
        <x:v>EBIT</x:v>
      </x:c>
      <x:c r="B13" s="25"/>
      <x:c r="C13" s="25"/>
      <x:c r="D13" s="25"/>
      <x:c r="E13" s="25"/>
      <x:c r="F13" s="25"/>
      <x:c r="G13" s="25"/>
      <x:c r="H13" s="25"/>
      <x:c r="I13" s="25"/>
    </x:row>
    <x:row r="14" ht="30" customHeight="1">
      <x:c r="A14" s="13" t="str">
        <x:v>Interest expense</x:v>
      </x:c>
      <x:c r="B14" s="15"/>
      <x:c r="C14" s="15"/>
      <x:c r="D14" s="15"/>
      <x:c r="E14" s="17"/>
      <x:c r="F14" s="17"/>
      <x:c r="G14" s="17"/>
      <x:c r="H14" s="17"/>
      <x:c r="I14" s="17"/>
    </x:row>
    <x:row r="15" ht="30" customHeight="1">
      <x:c r="A15" s="13" t="str">
        <x:v>Earnings before tax</x:v>
      </x:c>
      <x:c r="B15" s="17"/>
      <x:c r="C15" s="17"/>
      <x:c r="D15" s="17"/>
      <x:c r="E15" s="17"/>
      <x:c r="F15" s="17"/>
      <x:c r="G15" s="17"/>
      <x:c r="H15" s="17"/>
      <x:c r="I15" s="17"/>
    </x:row>
    <x:row r="16" ht="30" customHeight="1">
      <x:c r="A16" s="13" t="str">
        <x:v>Cash taxes</x:v>
      </x:c>
      <x:c r="B16" s="15"/>
      <x:c r="C16" s="15"/>
      <x:c r="D16" s="15"/>
      <x:c r="E16" s="17"/>
      <x:c r="F16" s="17"/>
      <x:c r="G16" s="17"/>
      <x:c r="H16" s="17"/>
      <x:c r="I16" s="17"/>
    </x:row>
    <x:row r="17" ht="30" customHeight="1">
      <x:c r="A17" s="24" t="str">
        <x:v>Net income</x:v>
      </x:c>
      <x:c r="B17" s="25"/>
      <x:c r="C17" s="25"/>
      <x:c r="D17" s="25"/>
      <x:c r="E17" s="25"/>
      <x:c r="F17" s="25"/>
      <x:c r="G17" s="25"/>
      <x:c r="H17" s="25"/>
      <x:c r="I17" s="25"/>
    </x:row>
    <x:row r="18" ht="30" customHeight="1">
      <x:c r="A18" s="13"/>
      <x:c r="B18" s="1"/>
      <x:c r="C18" s="1"/>
      <x:c r="D18" s="1"/>
      <x:c r="E18" s="1"/>
      <x:c r="F18" s="1"/>
      <x:c r="G18" s="1"/>
      <x:c r="H18" s="1"/>
      <x:c r="I18" s="1"/>
    </x:row>
    <x:row r="19" ht="25" customHeight="1">
      <x:c r="A19" s="21" t="str">
        <x:v>OPERATING ASSUMPTIONS</x:v>
      </x:c>
      <x:c r="B19" s="10"/>
      <x:c r="C19" s="10"/>
      <x:c r="D19" s="10"/>
      <x:c r="E19" s="10"/>
      <x:c r="F19" s="10"/>
      <x:c r="G19" s="10"/>
      <x:c r="H19" s="10"/>
      <x:c r="I19" s="10"/>
    </x:row>
    <x:row r="20" ht="30" customHeight="1">
      <x:c r="A20" s="13" t="str">
        <x:v>Revenue growth</x:v>
      </x:c>
      <x:c r="B20" s="1"/>
      <x:c r="C20" s="1"/>
      <x:c r="D20" s="1"/>
      <x:c r="E20" s="18"/>
      <x:c r="F20" s="18"/>
      <x:c r="G20" s="18"/>
      <x:c r="H20" s="18"/>
      <x:c r="I20" s="18"/>
    </x:row>
    <x:row r="21" ht="30" customHeight="1">
      <x:c r="A21" s="13" t="str">
        <x:v>COGS / revenue</x:v>
      </x:c>
      <x:c r="B21" s="1"/>
      <x:c r="C21" s="1"/>
      <x:c r="D21" s="1"/>
      <x:c r="E21" s="18"/>
      <x:c r="F21" s="18"/>
      <x:c r="G21" s="18"/>
      <x:c r="H21" s="18"/>
      <x:c r="I21" s="18"/>
    </x:row>
    <x:row r="22" ht="30" customHeight="1">
      <x:c r="A22" s="13" t="str">
        <x:v>Operating expenses / revenue</x:v>
      </x:c>
      <x:c r="B22" s="1"/>
      <x:c r="C22" s="1"/>
      <x:c r="D22" s="1"/>
      <x:c r="E22" s="18"/>
      <x:c r="F22" s="18"/>
      <x:c r="G22" s="18"/>
      <x:c r="H22" s="18"/>
      <x:c r="I22" s="18"/>
    </x:row>
    <x:row r="23" ht="30" customHeight="1">
      <x:c r="A23" s="13" t="str">
        <x:v>D&amp;A / revenue</x:v>
      </x:c>
      <x:c r="B23" s="1"/>
      <x:c r="C23" s="1"/>
      <x:c r="D23" s="1"/>
      <x:c r="E23" s="18"/>
      <x:c r="F23" s="18"/>
      <x:c r="G23" s="18"/>
      <x:c r="H23" s="18"/>
      <x:c r="I23" s="18"/>
    </x:row>
    <x:row r="24" ht="30" customHeight="1">
      <x:c r="A24" s="13" t="str">
        <x:v>Capital expenditure / revenue</x:v>
      </x:c>
      <x:c r="B24" s="1"/>
      <x:c r="C24" s="1"/>
      <x:c r="D24" s="1"/>
      <x:c r="E24" s="18"/>
      <x:c r="F24" s="18"/>
      <x:c r="G24" s="18"/>
      <x:c r="H24" s="18"/>
      <x:c r="I24" s="18"/>
    </x:row>
    <x:row r="25" ht="30" customHeight="1">
      <x:c r="A25" s="13" t="str">
        <x:v>Net working capital / revenue</x:v>
      </x:c>
      <x:c r="B25" s="1"/>
      <x:c r="C25" s="1"/>
      <x:c r="D25" s="1"/>
      <x:c r="E25" s="18"/>
      <x:c r="F25" s="18"/>
      <x:c r="G25" s="18"/>
      <x:c r="H25" s="18"/>
      <x:c r="I25" s="18"/>
    </x:row>
    <x:row r="26" ht="30" customHeight="1">
      <x:c r="A26" s="13" t="str">
        <x:v>Cash tax rate</x:v>
      </x:c>
      <x:c r="B26" s="1"/>
      <x:c r="C26" s="1"/>
      <x:c r="D26" s="1"/>
      <x:c r="E26" s="18"/>
      <x:c r="F26" s="18"/>
      <x:c r="G26" s="18"/>
      <x:c r="H26" s="18"/>
      <x:c r="I26" s="18"/>
    </x:row>
    <x:row r="27" ht="30" customHeight="1">
      <x:c r="A27" s="13" t="str">
        <x:v>Loan interest rate</x:v>
      </x:c>
      <x:c r="B27" s="1"/>
      <x:c r="C27" s="1"/>
      <x:c r="D27" s="1"/>
      <x:c r="E27" s="18"/>
      <x:c r="F27" s="18"/>
      <x:c r="G27" s="18"/>
      <x:c r="H27" s="18"/>
      <x:c r="I27" s="18"/>
    </x:row>
    <x:row r="28" ht="30" customHeight="1">
      <x:c r="A28" s="13" t="str">
        <x:v>Amortization / original principal</x:v>
      </x:c>
      <x:c r="B28" s="1"/>
      <x:c r="C28" s="1"/>
      <x:c r="D28" s="1"/>
      <x:c r="E28" s="18"/>
      <x:c r="F28" s="18"/>
      <x:c r="G28" s="18"/>
      <x:c r="H28" s="18"/>
      <x:c r="I28" s="18"/>
    </x:row>
    <x:row r="29" ht="30" customHeight="1">
      <x:c r="A29" s="13"/>
      <x:c r="B29" s="1"/>
      <x:c r="C29" s="1"/>
      <x:c r="D29" s="1"/>
      <x:c r="E29" s="1"/>
      <x:c r="F29" s="1"/>
      <x:c r="G29" s="1"/>
      <x:c r="H29" s="1"/>
      <x:c r="I29" s="1"/>
    </x:row>
    <x:row r="30" ht="25" customHeight="1">
      <x:c r="A30" s="21" t="str">
        <x:v>TRANSACTION AND FINANCING</x:v>
      </x:c>
      <x:c r="B30" s="10"/>
      <x:c r="C30" s="10"/>
      <x:c r="D30" s="10"/>
      <x:c r="E30" s="10"/>
      <x:c r="F30" s="10"/>
      <x:c r="G30" s="10"/>
      <x:c r="H30" s="10"/>
      <x:c r="I30" s="10"/>
    </x:row>
    <x:row r="31" ht="30" customHeight="1">
      <x:c r="A31" s="13"/>
      <x:c r="B31" s="1"/>
      <x:c r="C31" s="1"/>
      <x:c r="D31" s="1"/>
      <x:c r="E31" s="1"/>
      <x:c r="F31" s="1"/>
      <x:c r="G31" s="1"/>
      <x:c r="H31" s="1"/>
      <x:c r="I31" s="1"/>
    </x:row>
    <x:row r="32" ht="30" customHeight="1">
      <x:c r="A32" s="13" t="str">
        <x:v>Entry EBITDA</x:v>
      </x:c>
      <x:c r="B32" s="17"/>
      <x:c r="C32" s="1"/>
      <x:c r="D32" s="1"/>
      <x:c r="E32" s="1"/>
      <x:c r="F32" s="1"/>
      <x:c r="G32" s="1"/>
      <x:c r="H32" s="1"/>
      <x:c r="I32" s="1"/>
    </x:row>
    <x:row r="33" ht="30" customHeight="1">
      <x:c r="A33" s="13" t="str">
        <x:v>Entry EV / EBITDA</x:v>
      </x:c>
      <x:c r="B33" s="15"/>
      <x:c r="C33" s="1"/>
      <x:c r="D33" s="1"/>
      <x:c r="E33" s="1"/>
      <x:c r="F33" s="1"/>
      <x:c r="G33" s="1"/>
      <x:c r="H33" s="1"/>
      <x:c r="I33" s="1"/>
    </x:row>
    <x:row r="34" ht="30" customHeight="1">
      <x:c r="A34" s="13" t="str">
        <x:v>Purchase enterprise value</x:v>
      </x:c>
      <x:c r="B34" s="17"/>
      <x:c r="C34" s="1"/>
      <x:c r="D34" s="1"/>
      <x:c r="E34" s="1"/>
      <x:c r="F34" s="1"/>
      <x:c r="G34" s="1"/>
      <x:c r="H34" s="1"/>
      <x:c r="I34" s="1"/>
    </x:row>
    <x:row r="35" ht="30" customHeight="1">
      <x:c r="A35" s="13" t="str">
        <x:v>Debt / entry EBITDA</x:v>
      </x:c>
      <x:c r="B35" s="15"/>
      <x:c r="C35" s="1"/>
      <x:c r="D35" s="1"/>
      <x:c r="E35" s="1"/>
      <x:c r="F35" s="1"/>
      <x:c r="G35" s="1"/>
      <x:c r="H35" s="1"/>
      <x:c r="I35" s="1"/>
    </x:row>
    <x:row r="36" ht="30" customHeight="1">
      <x:c r="A36" s="13" t="str">
        <x:v>New term loan</x:v>
      </x:c>
      <x:c r="B36" s="17"/>
      <x:c r="C36" s="1"/>
      <x:c r="D36" s="1"/>
      <x:c r="E36" s="1"/>
      <x:c r="F36" s="1"/>
      <x:c r="G36" s="1"/>
      <x:c r="H36" s="1"/>
      <x:c r="I36" s="1"/>
    </x:row>
    <x:row r="37" ht="30" customHeight="1">
      <x:c r="A37" s="13" t="str">
        <x:v>One-time transaction fees</x:v>
      </x:c>
      <x:c r="B37" s="15"/>
      <x:c r="C37" s="1"/>
      <x:c r="D37" s="1"/>
      <x:c r="E37" s="1"/>
      <x:c r="F37" s="1"/>
      <x:c r="G37" s="1"/>
      <x:c r="H37" s="1"/>
      <x:c r="I37" s="1"/>
    </x:row>
    <x:row r="38" ht="30" customHeight="1">
      <x:c r="A38" s="24" t="str">
        <x:v>Total uses</x:v>
      </x:c>
      <x:c r="B38" s="25"/>
      <x:c r="C38" s="27"/>
      <x:c r="D38" s="27"/>
      <x:c r="E38" s="27"/>
      <x:c r="F38" s="27"/>
      <x:c r="G38" s="27"/>
      <x:c r="H38" s="27"/>
      <x:c r="I38" s="27"/>
    </x:row>
    <x:row r="39" ht="30" customHeight="1">
      <x:c r="A39" s="24" t="str">
        <x:v>Sponsor equity investment</x:v>
      </x:c>
      <x:c r="B39" s="25"/>
      <x:c r="C39" s="27"/>
      <x:c r="D39" s="27"/>
      <x:c r="E39" s="27"/>
      <x:c r="F39" s="27"/>
      <x:c r="G39" s="27"/>
      <x:c r="H39" s="27"/>
      <x:c r="I39" s="27"/>
    </x:row>
    <x:row r="40" ht="30" customHeight="1">
      <x:c r="A40" s="24" t="str">
        <x:v>Total sources</x:v>
      </x:c>
      <x:c r="B40" s="25"/>
      <x:c r="C40" s="27"/>
      <x:c r="D40" s="27"/>
      <x:c r="E40" s="27"/>
      <x:c r="F40" s="27"/>
      <x:c r="G40" s="27"/>
      <x:c r="H40" s="27"/>
      <x:c r="I40" s="27"/>
    </x:row>
    <x:row r="41" ht="30" customHeight="1">
      <x:c r="A41" s="24" t="str">
        <x:v>Sources less uses</x:v>
      </x:c>
      <x:c r="B41" s="25"/>
      <x:c r="C41" s="27"/>
      <x:c r="D41" s="27"/>
      <x:c r="E41" s="27"/>
      <x:c r="F41" s="27"/>
      <x:c r="G41" s="27"/>
      <x:c r="H41" s="27"/>
      <x:c r="I41" s="27"/>
    </x:row>
    <x:row r="42" ht="30" customHeight="1">
      <x:c r="A42" s="13" t="str">
        <x:v>Exit EV / EBITDA</x:v>
      </x:c>
      <x:c r="B42" s="15"/>
      <x:c r="C42" s="1"/>
      <x:c r="D42" s="1"/>
      <x:c r="E42" s="1"/>
      <x:c r="F42" s="1"/>
      <x:c r="G42" s="1"/>
      <x:c r="H42" s="1"/>
      <x:c r="I42" s="1"/>
    </x:row>
    <x:row r="43" ht="30" customHeight="1">
      <x:c r="A43" s="13" t="str">
        <x:v>Holding period (years)</x:v>
      </x:c>
      <x:c r="B43" s="15"/>
      <x:c r="C43" s="1"/>
      <x:c r="D43" s="1"/>
      <x:c r="E43" s="1"/>
      <x:c r="F43" s="1"/>
      <x:c r="G43" s="1"/>
      <x:c r="H43" s="1"/>
      <x:c r="I43" s="1"/>
    </x:row>
    <x:row r="44" ht="30" customHeight="1">
      <x:c r="A44" s="13" t="str">
        <x:v>Opening net working capital</x:v>
      </x:c>
      <x:c r="B44" s="15"/>
      <x:c r="C44" s="1"/>
      <x:c r="D44" s="1"/>
      <x:c r="E44" s="1"/>
      <x:c r="F44" s="1"/>
      <x:c r="G44" s="1"/>
      <x:c r="H44" s="1"/>
      <x:c r="I44" s="1"/>
    </x:row>
    <x:row r="45" ht="30" customHeight="1">
      <x:c r="A45" s="13" t="str">
        <x:v>Opening cash</x:v>
      </x:c>
      <x:c r="B45" s="15"/>
      <x:c r="C45" s="1"/>
      <x:c r="D45" s="1"/>
      <x:c r="E45" s="1"/>
      <x:c r="F45" s="1"/>
      <x:c r="G45" s="1"/>
      <x:c r="H45" s="1"/>
      <x:c r="I45" s="1"/>
    </x:row>
    <x:row r="46" ht="30" customHeight="1">
      <x:c r="A46" s="13" t="str">
        <x:v>Beginning debt</x:v>
      </x:c>
      <x:c r="B46" s="1"/>
      <x:c r="C46" s="1"/>
      <x:c r="D46" s="1"/>
      <x:c r="E46" s="17"/>
      <x:c r="F46" s="17"/>
      <x:c r="G46" s="17"/>
      <x:c r="H46" s="17"/>
      <x:c r="I46" s="17"/>
    </x:row>
    <x:row r="47" ht="30" customHeight="1">
      <x:c r="A47" s="13" t="str">
        <x:v>Interest on beginning debt</x:v>
      </x:c>
      <x:c r="B47" s="1"/>
      <x:c r="C47" s="1"/>
      <x:c r="D47" s="1"/>
      <x:c r="E47" s="17"/>
      <x:c r="F47" s="17"/>
      <x:c r="G47" s="17"/>
      <x:c r="H47" s="17"/>
      <x:c r="I47" s="17"/>
    </x:row>
    <x:row r="48" ht="30" customHeight="1">
      <x:c r="A48" s="13" t="str">
        <x:v>Cash available before principal repayment</x:v>
      </x:c>
      <x:c r="B48" s="1"/>
      <x:c r="C48" s="1"/>
      <x:c r="D48" s="1"/>
      <x:c r="E48" s="17"/>
      <x:c r="F48" s="17"/>
      <x:c r="G48" s="17"/>
      <x:c r="H48" s="17"/>
      <x:c r="I48" s="17"/>
    </x:row>
    <x:row r="49" ht="30" customHeight="1">
      <x:c r="A49" s="13" t="str">
        <x:v>Scheduled principal repayment</x:v>
      </x:c>
      <x:c r="B49" s="1"/>
      <x:c r="C49" s="1"/>
      <x:c r="D49" s="1"/>
      <x:c r="E49" s="17"/>
      <x:c r="F49" s="17"/>
      <x:c r="G49" s="17"/>
      <x:c r="H49" s="17"/>
      <x:c r="I49" s="17"/>
    </x:row>
    <x:row r="50" ht="30" customHeight="1">
      <x:c r="A50" s="24" t="str">
        <x:v>Ending debt</x:v>
      </x:c>
      <x:c r="B50" s="27"/>
      <x:c r="C50" s="27"/>
      <x:c r="D50" s="27"/>
      <x:c r="E50" s="25"/>
      <x:c r="F50" s="25"/>
      <x:c r="G50" s="25"/>
      <x:c r="H50" s="25"/>
      <x:c r="I50" s="25"/>
    </x:row>
    <x:row r="51" ht="30" customHeight="1">
      <x:c r="A51" s="13" t="str">
        <x:v>Cash after principal repayment</x:v>
      </x:c>
      <x:c r="B51" s="1"/>
      <x:c r="C51" s="1"/>
      <x:c r="D51" s="1"/>
      <x:c r="E51" s="17"/>
      <x:c r="F51" s="17"/>
      <x:c r="G51" s="17"/>
      <x:c r="H51" s="17"/>
      <x:c r="I51" s="17"/>
    </x:row>
    <x:row r="52" ht="30" customHeight="1">
      <x:c r="A52" s="13" t="str">
        <x:v>Beginning cash</x:v>
      </x:c>
      <x:c r="B52" s="1"/>
      <x:c r="C52" s="1"/>
      <x:c r="D52" s="1"/>
      <x:c r="E52" s="17"/>
      <x:c r="F52" s="17"/>
      <x:c r="G52" s="17"/>
      <x:c r="H52" s="17"/>
      <x:c r="I52" s="17"/>
    </x:row>
    <x:row r="53" ht="30" customHeight="1">
      <x:c r="A53" s="24" t="str">
        <x:v>Ending cash</x:v>
      </x:c>
      <x:c r="B53" s="27"/>
      <x:c r="C53" s="27"/>
      <x:c r="D53" s="27"/>
      <x:c r="E53" s="25"/>
      <x:c r="F53" s="25"/>
      <x:c r="G53" s="25"/>
      <x:c r="H53" s="25"/>
      <x:c r="I53" s="25"/>
    </x:row>
    <x:row r="54" ht="30" customHeight="1">
      <x:c r="A54" s="24" t="str">
        <x:v>Unfunded cash shortfall</x:v>
      </x:c>
      <x:c r="B54" s="27"/>
      <x:c r="C54" s="27"/>
      <x:c r="D54" s="27"/>
      <x:c r="E54" s="25"/>
      <x:c r="F54" s="25"/>
      <x:c r="G54" s="25"/>
      <x:c r="H54" s="25"/>
      <x:c r="I54" s="25"/>
    </x:row>
    <x:row r="55" ht="25" customHeight="1">
      <x:c r="A55" s="21" t="str">
        <x:v>CASH FLOW</x:v>
      </x:c>
      <x:c r="B55" s="10"/>
      <x:c r="C55" s="10"/>
      <x:c r="D55" s="10"/>
      <x:c r="E55" s="10"/>
      <x:c r="F55" s="10"/>
      <x:c r="G55" s="10"/>
      <x:c r="H55" s="10"/>
      <x:c r="I55" s="10"/>
    </x:row>
    <x:row r="56" ht="30" customHeight="1">
      <x:c r="A56" s="13"/>
      <x:c r="B56" s="1"/>
      <x:c r="C56" s="1"/>
      <x:c r="D56" s="1"/>
      <x:c r="E56" s="1"/>
      <x:c r="F56" s="1"/>
      <x:c r="G56" s="1"/>
      <x:c r="H56" s="1"/>
      <x:c r="I56" s="1"/>
    </x:row>
    <x:row r="57" ht="30" customHeight="1">
      <x:c r="A57" s="13" t="str">
        <x:v>Net income</x:v>
      </x:c>
      <x:c r="B57" s="1"/>
      <x:c r="C57" s="1"/>
      <x:c r="D57" s="1"/>
      <x:c r="E57" s="17"/>
      <x:c r="F57" s="17"/>
      <x:c r="G57" s="17"/>
      <x:c r="H57" s="17"/>
      <x:c r="I57" s="17"/>
    </x:row>
    <x:row r="58" ht="30" customHeight="1">
      <x:c r="A58" s="13" t="str">
        <x:v>Add back D&amp;A</x:v>
      </x:c>
      <x:c r="B58" s="1"/>
      <x:c r="C58" s="1"/>
      <x:c r="D58" s="1"/>
      <x:c r="E58" s="17"/>
      <x:c r="F58" s="17"/>
      <x:c r="G58" s="17"/>
      <x:c r="H58" s="17"/>
      <x:c r="I58" s="17"/>
    </x:row>
    <x:row r="59" ht="30" customHeight="1">
      <x:c r="A59" s="13" t="str">
        <x:v>Capital expenditure</x:v>
      </x:c>
      <x:c r="B59" s="1"/>
      <x:c r="C59" s="1"/>
      <x:c r="D59" s="1"/>
      <x:c r="E59" s="17"/>
      <x:c r="F59" s="17"/>
      <x:c r="G59" s="17"/>
      <x:c r="H59" s="17"/>
      <x:c r="I59" s="17"/>
    </x:row>
    <x:row r="60" ht="30" customHeight="1">
      <x:c r="A60" s="13" t="str">
        <x:v>Net working capital</x:v>
      </x:c>
      <x:c r="B60" s="1"/>
      <x:c r="C60" s="1"/>
      <x:c r="D60" s="17"/>
      <x:c r="E60" s="17"/>
      <x:c r="F60" s="17"/>
      <x:c r="G60" s="17"/>
      <x:c r="H60" s="17"/>
      <x:c r="I60" s="17"/>
    </x:row>
    <x:row r="61" ht="30" customHeight="1">
      <x:c r="A61" s="13" t="str">
        <x:v>Increase in net working capital</x:v>
      </x:c>
      <x:c r="B61" s="1"/>
      <x:c r="C61" s="1"/>
      <x:c r="D61" s="1"/>
      <x:c r="E61" s="17"/>
      <x:c r="F61" s="17"/>
      <x:c r="G61" s="17"/>
      <x:c r="H61" s="17"/>
      <x:c r="I61" s="17"/>
    </x:row>
    <x:row r="62" ht="30" customHeight="1">
      <x:c r="A62" s="24" t="str">
        <x:v>Cash available before principal repayment</x:v>
      </x:c>
      <x:c r="B62" s="27"/>
      <x:c r="C62" s="27"/>
      <x:c r="D62" s="27"/>
      <x:c r="E62" s="25"/>
      <x:c r="F62" s="25"/>
      <x:c r="G62" s="25"/>
      <x:c r="H62" s="25"/>
      <x:c r="I62" s="25"/>
    </x:row>
    <x:row r="63" ht="30" customHeight="1">
      <x:c r="A63" s="13"/>
      <x:c r="B63" s="1"/>
      <x:c r="C63" s="1"/>
      <x:c r="D63" s="1"/>
      <x:c r="E63" s="1"/>
      <x:c r="F63" s="1"/>
      <x:c r="G63" s="1"/>
      <x:c r="H63" s="1"/>
      <x:c r="I63" s="1"/>
    </x:row>
    <x:row r="64" ht="25" customHeight="1">
      <x:c r="A64" s="21" t="str">
        <x:v>SPONSOR RETURNS</x:v>
      </x:c>
      <x:c r="B64" s="10"/>
      <x:c r="C64" s="10"/>
      <x:c r="D64" s="10"/>
      <x:c r="E64" s="10"/>
      <x:c r="F64" s="10"/>
      <x:c r="G64" s="10"/>
      <x:c r="H64" s="10"/>
      <x:c r="I64" s="10"/>
    </x:row>
    <x:row r="65" ht="30" customHeight="1">
      <x:c r="A65" s="13" t="str">
        <x:v>Exit EBITDA</x:v>
      </x:c>
      <x:c r="B65" s="17"/>
      <x:c r="C65" s="1"/>
      <x:c r="D65" s="1"/>
      <x:c r="E65" s="1"/>
      <x:c r="F65" s="1"/>
      <x:c r="G65" s="1"/>
      <x:c r="H65" s="1"/>
      <x:c r="I65" s="1"/>
    </x:row>
    <x:row r="66" ht="30" customHeight="1">
      <x:c r="A66" s="13" t="str">
        <x:v>Exit enterprise value</x:v>
      </x:c>
      <x:c r="B66" s="17"/>
      <x:c r="C66" s="1"/>
      <x:c r="D66" s="1"/>
      <x:c r="E66" s="1"/>
      <x:c r="F66" s="1"/>
      <x:c r="G66" s="1"/>
      <x:c r="H66" s="1"/>
      <x:c r="I66" s="1"/>
    </x:row>
    <x:row r="67" ht="30" customHeight="1">
      <x:c r="A67" s="13" t="str">
        <x:v>Less: exit debt</x:v>
      </x:c>
      <x:c r="B67" s="17"/>
      <x:c r="C67" s="1"/>
      <x:c r="D67" s="1"/>
      <x:c r="E67" s="1"/>
      <x:c r="F67" s="1"/>
      <x:c r="G67" s="1"/>
      <x:c r="H67" s="1"/>
      <x:c r="I67" s="1"/>
    </x:row>
    <x:row r="68" ht="30" customHeight="1">
      <x:c r="A68" s="13" t="str">
        <x:v>Add: exit cash</x:v>
      </x:c>
      <x:c r="B68" s="17"/>
      <x:c r="C68" s="1"/>
      <x:c r="D68" s="1"/>
      <x:c r="E68" s="1"/>
      <x:c r="F68" s="1"/>
      <x:c r="G68" s="1"/>
      <x:c r="H68" s="1"/>
      <x:c r="I68" s="1"/>
    </x:row>
    <x:row r="69" ht="30" customHeight="1">
      <x:c r="A69" s="24" t="str">
        <x:v>Sponsor exit equity proceeds</x:v>
      </x:c>
      <x:c r="B69" s="25"/>
      <x:c r="C69" s="27"/>
      <x:c r="D69" s="27"/>
      <x:c r="E69" s="27"/>
      <x:c r="F69" s="27"/>
      <x:c r="G69" s="27"/>
      <x:c r="H69" s="27"/>
      <x:c r="I69" s="27"/>
    </x:row>
    <x:row r="70" ht="30" customHeight="1">
      <x:c r="A70" s="24" t="str">
        <x:v>Multiple of invested capital (MOIC)</x:v>
      </x:c>
      <x:c r="B70" s="25"/>
      <x:c r="C70" s="27"/>
      <x:c r="D70" s="27"/>
      <x:c r="E70" s="27"/>
      <x:c r="F70" s="27"/>
      <x:c r="G70" s="27"/>
      <x:c r="H70" s="27"/>
      <x:c r="I70" s="27"/>
    </x:row>
    <x:row r="71" ht="30" customHeight="1">
      <x:c r="A71" s="24" t="str">
        <x:v>Annualized equity return (IRR)</x:v>
      </x:c>
      <x:c r="B71" s="29"/>
      <x:c r="C71" s="27"/>
      <x:c r="D71" s="27"/>
      <x:c r="E71" s="27"/>
      <x:c r="F71" s="27"/>
      <x:c r="G71" s="27"/>
      <x:c r="H71" s="27"/>
      <x:c r="I71" s="27"/>
    </x:row>
    <x:row r="72" ht="30" customHeight="1">
      <x:c r="A72" s="13"/>
      <x:c r="B72" s="1"/>
      <x:c r="C72" s="1"/>
      <x:c r="D72" s="1"/>
      <x:c r="E72" s="1"/>
      <x:c r="F72" s="1"/>
      <x:c r="G72" s="1"/>
      <x:c r="H72" s="1"/>
      <x:c r="I72" s="1"/>
    </x:row>
    <x:row r="73" ht="25" customHeight="1">
      <x:c r="A73" s="21" t="str">
        <x:v>LOWER EXIT MULTIPLE</x:v>
      </x:c>
      <x:c r="B73" s="10"/>
      <x:c r="C73" s="10"/>
      <x:c r="D73" s="10"/>
      <x:c r="E73" s="10"/>
      <x:c r="F73" s="10"/>
      <x:c r="G73" s="10"/>
      <x:c r="H73" s="10"/>
      <x:c r="I73" s="10"/>
    </x:row>
    <x:row r="74" ht="30" customHeight="1">
      <x:c r="A74" s="13" t="str">
        <x:v>Downside exit EV / EBITDA</x:v>
      </x:c>
      <x:c r="B74" s="15"/>
      <x:c r="C74" s="1"/>
      <x:c r="D74" s="1"/>
      <x:c r="E74" s="1"/>
      <x:c r="F74" s="1"/>
      <x:c r="G74" s="1"/>
      <x:c r="H74" s="1"/>
      <x:c r="I74" s="1"/>
    </x:row>
    <x:row r="75" ht="30" customHeight="1">
      <x:c r="A75" s="13" t="str">
        <x:v>Downside exit enterprise value</x:v>
      </x:c>
      <x:c r="B75" s="17"/>
      <x:c r="C75" s="1"/>
      <x:c r="D75" s="1"/>
      <x:c r="E75" s="1"/>
      <x:c r="F75" s="1"/>
      <x:c r="G75" s="1"/>
      <x:c r="H75" s="1"/>
      <x:c r="I75" s="1"/>
    </x:row>
    <x:row r="76" ht="30" customHeight="1">
      <x:c r="A76" s="13" t="str">
        <x:v>Downside equity proceeds</x:v>
      </x:c>
      <x:c r="B76" s="17"/>
      <x:c r="C76" s="1"/>
      <x:c r="D76" s="1"/>
      <x:c r="E76" s="1"/>
      <x:c r="F76" s="1"/>
      <x:c r="G76" s="1"/>
      <x:c r="H76" s="1"/>
      <x:c r="I76" s="1"/>
    </x:row>
    <x:row r="77" ht="30" customHeight="1">
      <x:c r="A77" s="24" t="str">
        <x:v>Downside MOIC</x:v>
      </x:c>
      <x:c r="B77" s="25"/>
      <x:c r="C77" s="27"/>
      <x:c r="D77" s="27"/>
      <x:c r="E77" s="27"/>
      <x:c r="F77" s="27"/>
      <x:c r="G77" s="27"/>
      <x:c r="H77" s="27"/>
      <x:c r="I77" s="27"/>
    </x:row>
    <x:row r="78" ht="30" customHeight="1">
      <x:c r="A78" s="24" t="str">
        <x:v>Downside IRR</x:v>
      </x:c>
      <x:c r="B78" s="29"/>
      <x:c r="C78" s="27"/>
      <x:c r="D78" s="27"/>
      <x:c r="E78" s="27"/>
      <x:c r="F78" s="27"/>
      <x:c r="G78" s="27"/>
      <x:c r="H78" s="27"/>
      <x:c r="I78" s="27"/>
    </x:row>
    <x:row r="79" ht="30" customHeight="1">
      <x:c r="A79" s="13"/>
      <x:c r="B79" s="1"/>
      <x:c r="C79" s="1"/>
      <x:c r="D79" s="1"/>
      <x:c r="E79" s="1"/>
      <x:c r="F79" s="1"/>
      <x:c r="G79" s="1"/>
      <x:c r="H79" s="1"/>
      <x:c r="I79" s="1"/>
    </x:row>
    <x:row r="80" ht="25" customHeight="1">
      <x:c r="A80" s="21" t="str">
        <x:v>RECONCILIATION CHECKS</x:v>
      </x:c>
      <x:c r="B80" s="10"/>
      <x:c r="C80" s="10"/>
      <x:c r="D80" s="10"/>
      <x:c r="E80" s="10"/>
      <x:c r="F80" s="10"/>
      <x:c r="G80" s="10"/>
      <x:c r="H80" s="10"/>
      <x:c r="I80" s="10"/>
    </x:row>
    <x:row r="81" ht="30" customHeight="1">
      <x:c r="A81" s="24" t="str">
        <x:v>Sources less uses (target zero)</x:v>
      </x:c>
      <x:c r="B81" s="25"/>
      <x:c r="C81" s="27"/>
      <x:c r="D81" s="27"/>
      <x:c r="E81" s="27"/>
      <x:c r="F81" s="27"/>
      <x:c r="G81" s="27"/>
      <x:c r="H81" s="27"/>
      <x:c r="I81" s="27"/>
    </x:row>
    <x:row r="82" ht="30" customHeight="1">
      <x:c r="A82" s="24" t="str">
        <x:v>Debt roll-forward difference (target zero)</x:v>
      </x:c>
      <x:c r="B82" s="25"/>
      <x:c r="C82" s="27"/>
      <x:c r="D82" s="27"/>
      <x:c r="E82" s="27"/>
      <x:c r="F82" s="27"/>
      <x:c r="G82" s="27"/>
      <x:c r="H82" s="27"/>
      <x:c r="I82" s="27"/>
    </x:row>
    <x:row r="83" ht="30" customHeight="1">
      <x:c r="A83" s="24" t="str">
        <x:v>Cash roll-forward difference (target zero)</x:v>
      </x:c>
      <x:c r="B83" s="25"/>
      <x:c r="C83" s="27"/>
      <x:c r="D83" s="27"/>
      <x:c r="E83" s="27"/>
      <x:c r="F83" s="27"/>
      <x:c r="G83" s="27"/>
      <x:c r="H83" s="27"/>
      <x:c r="I83" s="27"/>
    </x:row>
    <x:row r="84" ht="30" customHeight="1">
      <x:c r="A84" s="13" t="str">
        <x:v>Minimum year-end cash (must be nonnegative)</x:v>
      </x:c>
      <x:c r="B84" s="17"/>
      <x:c r="C84" s="1"/>
      <x:c r="D84" s="1"/>
      <x:c r="E84" s="1"/>
      <x:c r="F84" s="1"/>
      <x:c r="G84" s="1"/>
      <x:c r="H84" s="1"/>
      <x:c r="I84" s="1"/>
    </x:row>
    <x:row r="85" ht="30" customHeight="1">
      <x:c r="A85" s="13" t="str">
        <x:v>Year 1 EBITDA / interest</x:v>
      </x:c>
      <x:c r="B85" s="17"/>
      <x:c r="C85" s="1"/>
      <x:c r="D85" s="1"/>
      <x:c r="E85" s="1"/>
      <x:c r="F85" s="1"/>
      <x:c r="G85" s="1"/>
      <x:c r="H85" s="1"/>
      <x:c r="I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</x:row>
    <x:row r="87" ht="22" customHeight="1">
      <x:c r="A87" s="13" t="str">
        <x:v>Blue numeric inputs; black same-sheet formulas. Model and app use identical cell addresses. DS = rows 46:54. All expenses positive. Loan amortization is principal repayment; D&amp;A is an accounting expense.</x:v>
      </x:c>
      <x:c r="B87" s="13"/>
      <x:c r="C87" s="13"/>
      <x:c r="D87" s="13"/>
      <x:c r="E87" s="13"/>
      <x:c r="F87" s="13"/>
      <x:c r="G87" s="13"/>
      <x:c r="H87" s="13"/>
      <x:c r="I87" s="13"/>
    </x:row>
    <x:row r="88" ht="22" customHeight="1">
      <x:c r="A88" s="13"/>
      <x:c r="B88" s="13"/>
      <x:c r="C88" s="13"/>
      <x:c r="D88" s="13"/>
      <x:c r="E88" s="13"/>
      <x:c r="F88" s="13"/>
      <x:c r="G88" s="13"/>
      <x:c r="H88" s="13"/>
      <x:c r="I88" s="13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</x:row>
    <x:row r="90" ht="22" customHeight="1">
      <x:c r="A90" s="13" t="str">
        <x:v>Sources: CedarPack-Data.xlsx; all figures are fictional. Simplified cash-flow LBO adapted from Rosenbaum &amp; Pearl, Investment Banking, Chapter 5. No full balance sheet or purchase accounting. IRR assumes one initial investment and one receipt exactly five years later.</x:v>
      </x:c>
      <x:c r="B90" s="13"/>
      <x:c r="C90" s="13"/>
      <x:c r="D90" s="13"/>
      <x:c r="E90" s="13"/>
      <x:c r="F90" s="13"/>
      <x:c r="G90" s="13"/>
      <x:c r="H90" s="13"/>
      <x:c r="I90" s="13"/>
    </x:row>
    <x:row r="91" ht="22" customHeight="1">
      <x:c r="A91" s="13"/>
      <x:c r="B91" s="13"/>
      <x:c r="C91" s="13"/>
      <x:c r="D91" s="13"/>
      <x:c r="E91" s="13"/>
      <x:c r="F91" s="13"/>
      <x:c r="G91" s="13"/>
      <x:c r="H91" s="13"/>
      <x:c r="I91" s="13"/>
    </x:row>
    <x:row r="92" ht="22" customHeight="1">
      <x:c r="A92" s="13"/>
      <x:c r="B92" s="13"/>
      <x:c r="C92" s="13"/>
      <x:c r="D92" s="13"/>
      <x:c r="E92" s="13"/>
      <x:c r="F92" s="13"/>
      <x:c r="G92" s="13"/>
      <x:c r="H92" s="13"/>
      <x:c r="I92" s="13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</x:row>
  </x:sheetData>
  <x:mergeCells>
    <x:mergeCell ref="A87:I88"/>
    <x:mergeCell ref="A90:I9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8" customHeight="1">
      <x:c r="A2" s="3" t="str">
        <x:v>CedarPack beginner LBO</x:v>
      </x:c>
      <x:c r="B2" s="3"/>
      <x:c r="C2" s="3"/>
      <x:c r="D2" s="3"/>
      <x:c r="E2" s="3"/>
      <x:c r="F2" s="3"/>
      <x:c r="G2" s="3"/>
      <x:c r="H2" s="3"/>
      <x:c r="I2" s="3"/>
    </x:row>
    <x:row r="3" ht="22" customHeight="1">
      <x:c r="A3" s="4" t="str">
        <x:v>INR crore. Years ended 31 March. Fictional classroom case.</x:v>
      </x:c>
      <x:c r="B3" s="4"/>
      <x:c r="C3" s="4"/>
      <x:c r="D3" s="4"/>
      <x:c r="E3" s="4"/>
      <x:c r="F3" s="4"/>
      <x:c r="G3" s="4"/>
      <x:c r="H3" s="4"/>
      <x:c r="I3" s="4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2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5" customHeight="1">
      <x:c r="A6" s="10" t="str">
        <x:v>Line item</x:v>
      </x:c>
      <x:c r="B6" s="11" t="n">
        <x:v>45382</x:v>
      </x:c>
      <x:c r="C6" s="11" t="n">
        <x:v>45747</x:v>
      </x:c>
      <x:c r="D6" s="11" t="n">
        <x:v>46112</x:v>
      </x:c>
      <x:c r="E6" s="12" t="n">
        <x:v>46477</x:v>
      </x:c>
      <x:c r="F6" s="12" t="n">
        <x:v>46843</x:v>
      </x:c>
      <x:c r="G6" s="12" t="n">
        <x:v>47208</x:v>
      </x:c>
      <x:c r="H6" s="12" t="n">
        <x:v>47573</x:v>
      </x:c>
      <x:c r="I6" s="12" t="n">
        <x:v>47938</x:v>
      </x:c>
    </x:row>
    <x:row r="7" ht="30" customHeight="1">
      <x:c r="A7" s="13" t="str">
        <x:v>Revenue</x:v>
      </x:c>
      <x:c r="B7" s="32" t="n">
        <x:v>160</x:v>
      </x:c>
      <x:c r="C7" s="32" t="n">
        <x:v>180</x:v>
      </x:c>
      <x:c r="D7" s="32" t="n">
        <x:v>200</x:v>
      </x:c>
      <x:c r="E7" s="35" t="n">
        <x:f>D7*(1+E20)</x:f>
        <x:v>216</x:v>
      </x:c>
      <x:c r="F7" s="35" t="n">
        <x:f>E7*(1+F20)</x:f>
        <x:v>233.28000000000003</x:v>
      </x:c>
      <x:c r="G7" s="35" t="n">
        <x:f>F7*(1+G20)</x:f>
        <x:v>251.94240000000005</x:v>
      </x:c>
      <x:c r="H7" s="35" t="n">
        <x:f>G7*(1+H20)</x:f>
        <x:v>272.0977920000001</x:v>
      </x:c>
      <x:c r="I7" s="35" t="n">
        <x:f>H7*(1+I20)</x:f>
        <x:v>293.8656153600001</x:v>
      </x:c>
    </x:row>
    <x:row r="8" ht="30" customHeight="1">
      <x:c r="A8" s="13" t="str">
        <x:v>Cost of goods sold</x:v>
      </x:c>
      <x:c r="B8" s="32" t="n">
        <x:v>96</x:v>
      </x:c>
      <x:c r="C8" s="32" t="n">
        <x:v>108</x:v>
      </x:c>
      <x:c r="D8" s="32" t="n">
        <x:v>120</x:v>
      </x:c>
      <x:c r="E8" s="35" t="n">
        <x:f>E7*E21</x:f>
        <x:v>129.6</x:v>
      </x:c>
      <x:c r="F8" s="35" t="n">
        <x:f>F7*F21</x:f>
        <x:v>139.96800000000002</x:v>
      </x:c>
      <x:c r="G8" s="35" t="n">
        <x:f>G7*G21</x:f>
        <x:v>151.16544000000002</x:v>
      </x:c>
      <x:c r="H8" s="35" t="n">
        <x:f>H7*H21</x:f>
        <x:v>163.25867520000006</x:v>
      </x:c>
      <x:c r="I8" s="35" t="n">
        <x:f>I7*I21</x:f>
        <x:v>176.31936921600007</x:v>
      </x:c>
    </x:row>
    <x:row r="9" ht="30" customHeight="1">
      <x:c r="A9" s="13" t="str">
        <x:v>Gross profit</x:v>
      </x:c>
      <x:c r="B9" s="35" t="n">
        <x:f>B7-B8</x:f>
        <x:v>64</x:v>
      </x:c>
      <x:c r="C9" s="35" t="n">
        <x:f>C7-C8</x:f>
        <x:v>72</x:v>
      </x:c>
      <x:c r="D9" s="35" t="n">
        <x:f>D7-D8</x:f>
        <x:v>80</x:v>
      </x:c>
      <x:c r="E9" s="35" t="n">
        <x:f>E7-E8</x:f>
        <x:v>86.4</x:v>
      </x:c>
      <x:c r="F9" s="35" t="n">
        <x:f>F7-F8</x:f>
        <x:v>93.31200000000001</x:v>
      </x:c>
      <x:c r="G9" s="35" t="n">
        <x:f>G7-G8</x:f>
        <x:v>100.77696000000003</x:v>
      </x:c>
      <x:c r="H9" s="35" t="n">
        <x:f>H7-H8</x:f>
        <x:v>108.83911680000003</x:v>
      </x:c>
      <x:c r="I9" s="35" t="n">
        <x:f>I7-I8</x:f>
        <x:v>117.54624614400004</x:v>
      </x:c>
    </x:row>
    <x:row r="10" ht="30" customHeight="1">
      <x:c r="A10" s="13" t="str">
        <x:v>Operating expenses (excluding D&amp;A)</x:v>
      </x:c>
      <x:c r="B10" s="32" t="n">
        <x:v>32</x:v>
      </x:c>
      <x:c r="C10" s="32" t="n">
        <x:v>36</x:v>
      </x:c>
      <x:c r="D10" s="32" t="n">
        <x:v>40</x:v>
      </x:c>
      <x:c r="E10" s="35" t="n">
        <x:f>E7*E22</x:f>
        <x:v>43.2</x:v>
      </x:c>
      <x:c r="F10" s="35" t="n">
        <x:f>F7*F22</x:f>
        <x:v>46.656000000000006</x:v>
      </x:c>
      <x:c r="G10" s="35" t="n">
        <x:f>G7*G22</x:f>
        <x:v>50.388480000000015</x:v>
      </x:c>
      <x:c r="H10" s="35" t="n">
        <x:f>H7*H22</x:f>
        <x:v>54.41955840000002</x:v>
      </x:c>
      <x:c r="I10" s="35" t="n">
        <x:f>I7*I22</x:f>
        <x:v>58.773123072000026</x:v>
      </x:c>
    </x:row>
    <x:row r="11" ht="30" customHeight="1">
      <x:c r="A11" s="24" t="str">
        <x:v>EBITDA</x:v>
      </x:c>
      <x:c r="B11" s="47" t="n">
        <x:f>B9-B10</x:f>
        <x:v>32</x:v>
      </x:c>
      <x:c r="C11" s="47" t="n">
        <x:f>C9-C10</x:f>
        <x:v>36</x:v>
      </x:c>
      <x:c r="D11" s="47" t="n">
        <x:f>D9-D10</x:f>
        <x:v>40</x:v>
      </x:c>
      <x:c r="E11" s="47" t="n">
        <x:f>E9-E10</x:f>
        <x:v>43.2</x:v>
      </x:c>
      <x:c r="F11" s="47" t="n">
        <x:f>F9-F10</x:f>
        <x:v>46.656000000000006</x:v>
      </x:c>
      <x:c r="G11" s="47" t="n">
        <x:f>G9-G10</x:f>
        <x:v>50.388480000000015</x:v>
      </x:c>
      <x:c r="H11" s="47" t="n">
        <x:f>H9-H10</x:f>
        <x:v>54.41955840000001</x:v>
      </x:c>
      <x:c r="I11" s="47" t="n">
        <x:f>I9-I10</x:f>
        <x:v>58.77312307200001</x:v>
      </x:c>
    </x:row>
    <x:row r="12" ht="30" customHeight="1">
      <x:c r="A12" s="13" t="str">
        <x:v>Depreciation &amp; amortization</x:v>
      </x:c>
      <x:c r="B12" s="32" t="n">
        <x:v>4.5</x:v>
      </x:c>
      <x:c r="C12" s="32" t="n">
        <x:v>5</x:v>
      </x:c>
      <x:c r="D12" s="32" t="n">
        <x:v>6</x:v>
      </x:c>
      <x:c r="E12" s="35" t="n">
        <x:f>E7*E23</x:f>
        <x:v>6.4799999999999995</x:v>
      </x:c>
      <x:c r="F12" s="35" t="n">
        <x:f>F7*F23</x:f>
        <x:v>6.998400000000001</x:v>
      </x:c>
      <x:c r="G12" s="35" t="n">
        <x:f>G7*G23</x:f>
        <x:v>7.558272000000001</x:v>
      </x:c>
      <x:c r="H12" s="35" t="n">
        <x:f>H7*H23</x:f>
        <x:v>8.162933760000001</x:v>
      </x:c>
      <x:c r="I12" s="35" t="n">
        <x:f>I7*I23</x:f>
        <x:v>8.815968460800002</x:v>
      </x:c>
    </x:row>
    <x:row r="13" ht="30" customHeight="1">
      <x:c r="A13" s="24" t="str">
        <x:v>EBIT</x:v>
      </x:c>
      <x:c r="B13" s="47" t="n">
        <x:f>B11-B12</x:f>
        <x:v>27.5</x:v>
      </x:c>
      <x:c r="C13" s="47" t="n">
        <x:f>C11-C12</x:f>
        <x:v>31</x:v>
      </x:c>
      <x:c r="D13" s="47" t="n">
        <x:f>D11-D12</x:f>
        <x:v>34</x:v>
      </x:c>
      <x:c r="E13" s="47" t="n">
        <x:f>E11-E12</x:f>
        <x:v>36.720000000000006</x:v>
      </x:c>
      <x:c r="F13" s="47" t="n">
        <x:f>F11-F12</x:f>
        <x:v>39.6576</x:v>
      </x:c>
      <x:c r="G13" s="47" t="n">
        <x:f>G11-G12</x:f>
        <x:v>42.83020800000001</x:v>
      </x:c>
      <x:c r="H13" s="47" t="n">
        <x:f>H11-H12</x:f>
        <x:v>46.256624640000005</x:v>
      </x:c>
      <x:c r="I13" s="47" t="n">
        <x:f>I11-I12</x:f>
        <x:v>49.95715461120001</x:v>
      </x:c>
    </x:row>
    <x:row r="14" ht="30" customHeight="1">
      <x:c r="A14" s="13" t="str">
        <x:v>Interest expense</x:v>
      </x:c>
      <x:c r="B14" s="32" t="n">
        <x:v>0</x:v>
      </x:c>
      <x:c r="C14" s="32" t="n">
        <x:v>0</x:v>
      </x:c>
      <x:c r="D14" s="32" t="n">
        <x:v>0</x:v>
      </x:c>
      <x:c r="E14" s="35" t="n">
        <x:f>E47</x:f>
        <x:v>12</x:v>
      </x:c>
      <x:c r="F14" s="35" t="n">
        <x:f>F47</x:f>
        <x:v>10.8</x:v>
      </x:c>
      <x:c r="G14" s="35" t="n">
        <x:f>G47</x:f>
        <x:v>9.600000000000001</x:v>
      </x:c>
      <x:c r="H14" s="35" t="n">
        <x:f>H47</x:f>
        <x:v>8.4</x:v>
      </x:c>
      <x:c r="I14" s="35" t="n">
        <x:f>I47</x:f>
        <x:v>7.2</x:v>
      </x:c>
    </x:row>
    <x:row r="15" ht="30" customHeight="1">
      <x:c r="A15" s="13" t="str">
        <x:v>Earnings before tax</x:v>
      </x:c>
      <x:c r="B15" s="35" t="n">
        <x:f>B13-B14</x:f>
        <x:v>27.5</x:v>
      </x:c>
      <x:c r="C15" s="35" t="n">
        <x:f>C13-C14</x:f>
        <x:v>31</x:v>
      </x:c>
      <x:c r="D15" s="35" t="n">
        <x:f>D13-D14</x:f>
        <x:v>34</x:v>
      </x:c>
      <x:c r="E15" s="35" t="n">
        <x:f>E13-E14</x:f>
        <x:v>24.720000000000006</x:v>
      </x:c>
      <x:c r="F15" s="35" t="n">
        <x:f>F13-F14</x:f>
        <x:v>28.8576</x:v>
      </x:c>
      <x:c r="G15" s="35" t="n">
        <x:f>G13-G14</x:f>
        <x:v>33.23020800000001</x:v>
      </x:c>
      <x:c r="H15" s="35" t="n">
        <x:f>H13-H14</x:f>
        <x:v>37.85662464000001</x:v>
      </x:c>
      <x:c r="I15" s="35" t="n">
        <x:f>I13-I14</x:f>
        <x:v>42.75715461120001</x:v>
      </x:c>
    </x:row>
    <x:row r="16" ht="30" customHeight="1">
      <x:c r="A16" s="13" t="str">
        <x:v>Cash taxes</x:v>
      </x:c>
      <x:c r="B16" s="32" t="n">
        <x:v>6.875</x:v>
      </x:c>
      <x:c r="C16" s="32" t="n">
        <x:v>7.75</x:v>
      </x:c>
      <x:c r="D16" s="32" t="n">
        <x:v>8.5</x:v>
      </x:c>
      <x:c r="E16" s="35" t="n">
        <x:f>MAX(E15,0)*E26</x:f>
        <x:v>6.1800000000000015</x:v>
      </x:c>
      <x:c r="F16" s="35" t="n">
        <x:f>MAX(F15,0)*F26</x:f>
        <x:v>7.2144</x:v>
      </x:c>
      <x:c r="G16" s="35" t="n">
        <x:f>MAX(G15,0)*G26</x:f>
        <x:v>8.307552000000003</x:v>
      </x:c>
      <x:c r="H16" s="35" t="n">
        <x:f>MAX(H15,0)*H26</x:f>
        <x:v>9.464156160000002</x:v>
      </x:c>
      <x:c r="I16" s="35" t="n">
        <x:f>MAX(I15,0)*I26</x:f>
        <x:v>10.689288652800002</x:v>
      </x:c>
    </x:row>
    <x:row r="17" ht="30" customHeight="1">
      <x:c r="A17" s="24" t="str">
        <x:v>Net income</x:v>
      </x:c>
      <x:c r="B17" s="47" t="n">
        <x:f>B15-B16</x:f>
        <x:v>20.625</x:v>
      </x:c>
      <x:c r="C17" s="47" t="n">
        <x:f>C15-C16</x:f>
        <x:v>23.25</x:v>
      </x:c>
      <x:c r="D17" s="47" t="n">
        <x:f>D15-D16</x:f>
        <x:v>25.5</x:v>
      </x:c>
      <x:c r="E17" s="47" t="n">
        <x:f>E15-E16</x:f>
        <x:v>18.540000000000006</x:v>
      </x:c>
      <x:c r="F17" s="47" t="n">
        <x:f>F15-F16</x:f>
        <x:v>21.6432</x:v>
      </x:c>
      <x:c r="G17" s="47" t="n">
        <x:f>G15-G16</x:f>
        <x:v>24.92265600000001</x:v>
      </x:c>
      <x:c r="H17" s="47" t="n">
        <x:f>H15-H16</x:f>
        <x:v>28.392468480000005</x:v>
      </x:c>
      <x:c r="I17" s="47" t="n">
        <x:f>I15-I16</x:f>
        <x:v>32.067865958400006</x:v>
      </x:c>
    </x:row>
    <x:row r="18" ht="30" customHeight="1">
      <x:c r="A18" s="13"/>
      <x:c r="B18" s="1"/>
      <x:c r="C18" s="1"/>
      <x:c r="D18" s="1"/>
      <x:c r="E18" s="1"/>
      <x:c r="F18" s="1"/>
      <x:c r="G18" s="1"/>
      <x:c r="H18" s="1"/>
      <x:c r="I18" s="1"/>
    </x:row>
    <x:row r="19" ht="25" customHeight="1">
      <x:c r="A19" s="21" t="str">
        <x:v>OPERATING ASSUMPTIONS</x:v>
      </x:c>
      <x:c r="B19" s="10"/>
      <x:c r="C19" s="10"/>
      <x:c r="D19" s="10"/>
      <x:c r="E19" s="10"/>
      <x:c r="F19" s="10"/>
      <x:c r="G19" s="10"/>
      <x:c r="H19" s="10"/>
      <x:c r="I19" s="10"/>
    </x:row>
    <x:row r="20" ht="30" customHeight="1">
      <x:c r="A20" s="13" t="str">
        <x:v>Revenue growth</x:v>
      </x:c>
      <x:c r="B20" s="1"/>
      <x:c r="C20" s="1"/>
      <x:c r="D20" s="1"/>
      <x:c r="E20" s="37" t="n">
        <x:v>0.08</x:v>
      </x:c>
      <x:c r="F20" s="37" t="n">
        <x:v>0.08</x:v>
      </x:c>
      <x:c r="G20" s="37" t="n">
        <x:v>0.08</x:v>
      </x:c>
      <x:c r="H20" s="37" t="n">
        <x:v>0.08</x:v>
      </x:c>
      <x:c r="I20" s="37" t="n">
        <x:v>0.08</x:v>
      </x:c>
    </x:row>
    <x:row r="21" ht="30" customHeight="1">
      <x:c r="A21" s="13" t="str">
        <x:v>COGS / revenue</x:v>
      </x:c>
      <x:c r="B21" s="1"/>
      <x:c r="C21" s="1"/>
      <x:c r="D21" s="1"/>
      <x:c r="E21" s="37" t="n">
        <x:v>0.6</x:v>
      </x:c>
      <x:c r="F21" s="37" t="n">
        <x:v>0.6</x:v>
      </x:c>
      <x:c r="G21" s="37" t="n">
        <x:v>0.6</x:v>
      </x:c>
      <x:c r="H21" s="37" t="n">
        <x:v>0.6</x:v>
      </x:c>
      <x:c r="I21" s="37" t="n">
        <x:v>0.6</x:v>
      </x:c>
    </x:row>
    <x:row r="22" ht="30" customHeight="1">
      <x:c r="A22" s="13" t="str">
        <x:v>Operating expenses / revenue</x:v>
      </x:c>
      <x:c r="B22" s="1"/>
      <x:c r="C22" s="1"/>
      <x:c r="D22" s="1"/>
      <x:c r="E22" s="37" t="n">
        <x:v>0.2</x:v>
      </x:c>
      <x:c r="F22" s="37" t="n">
        <x:v>0.2</x:v>
      </x:c>
      <x:c r="G22" s="37" t="n">
        <x:v>0.2</x:v>
      </x:c>
      <x:c r="H22" s="37" t="n">
        <x:v>0.2</x:v>
      </x:c>
      <x:c r="I22" s="37" t="n">
        <x:v>0.2</x:v>
      </x:c>
    </x:row>
    <x:row r="23" ht="30" customHeight="1">
      <x:c r="A23" s="13" t="str">
        <x:v>D&amp;A / revenue</x:v>
      </x:c>
      <x:c r="B23" s="1"/>
      <x:c r="C23" s="1"/>
      <x:c r="D23" s="1"/>
      <x:c r="E23" s="37" t="n">
        <x:v>0.03</x:v>
      </x:c>
      <x:c r="F23" s="37" t="n">
        <x:v>0.03</x:v>
      </x:c>
      <x:c r="G23" s="37" t="n">
        <x:v>0.03</x:v>
      </x:c>
      <x:c r="H23" s="37" t="n">
        <x:v>0.03</x:v>
      </x:c>
      <x:c r="I23" s="37" t="n">
        <x:v>0.03</x:v>
      </x:c>
    </x:row>
    <x:row r="24" ht="30" customHeight="1">
      <x:c r="A24" s="13" t="str">
        <x:v>Capital expenditure / revenue</x:v>
      </x:c>
      <x:c r="B24" s="1"/>
      <x:c r="C24" s="1"/>
      <x:c r="D24" s="1"/>
      <x:c r="E24" s="37" t="n">
        <x:v>0.04</x:v>
      </x:c>
      <x:c r="F24" s="37" t="n">
        <x:v>0.04</x:v>
      </x:c>
      <x:c r="G24" s="37" t="n">
        <x:v>0.04</x:v>
      </x:c>
      <x:c r="H24" s="37" t="n">
        <x:v>0.04</x:v>
      </x:c>
      <x:c r="I24" s="37" t="n">
        <x:v>0.04</x:v>
      </x:c>
    </x:row>
    <x:row r="25" ht="30" customHeight="1">
      <x:c r="A25" s="13" t="str">
        <x:v>Net working capital / revenue</x:v>
      </x:c>
      <x:c r="B25" s="1"/>
      <x:c r="C25" s="1"/>
      <x:c r="D25" s="1"/>
      <x:c r="E25" s="37" t="n">
        <x:v>0.1</x:v>
      </x:c>
      <x:c r="F25" s="37" t="n">
        <x:v>0.1</x:v>
      </x:c>
      <x:c r="G25" s="37" t="n">
        <x:v>0.1</x:v>
      </x:c>
      <x:c r="H25" s="37" t="n">
        <x:v>0.1</x:v>
      </x:c>
      <x:c r="I25" s="37" t="n">
        <x:v>0.1</x:v>
      </x:c>
    </x:row>
    <x:row r="26" ht="30" customHeight="1">
      <x:c r="A26" s="13" t="str">
        <x:v>Cash tax rate</x:v>
      </x:c>
      <x:c r="B26" s="1"/>
      <x:c r="C26" s="1"/>
      <x:c r="D26" s="1"/>
      <x:c r="E26" s="37" t="n">
        <x:v>0.25</x:v>
      </x:c>
      <x:c r="F26" s="37" t="n">
        <x:v>0.25</x:v>
      </x:c>
      <x:c r="G26" s="37" t="n">
        <x:v>0.25</x:v>
      </x:c>
      <x:c r="H26" s="37" t="n">
        <x:v>0.25</x:v>
      </x:c>
      <x:c r="I26" s="37" t="n">
        <x:v>0.25</x:v>
      </x:c>
    </x:row>
    <x:row r="27" ht="30" customHeight="1">
      <x:c r="A27" s="13" t="str">
        <x:v>Loan interest rate</x:v>
      </x:c>
      <x:c r="B27" s="1"/>
      <x:c r="C27" s="1"/>
      <x:c r="D27" s="1"/>
      <x:c r="E27" s="37" t="n">
        <x:v>0.1</x:v>
      </x:c>
      <x:c r="F27" s="37" t="n">
        <x:v>0.1</x:v>
      </x:c>
      <x:c r="G27" s="37" t="n">
        <x:v>0.1</x:v>
      </x:c>
      <x:c r="H27" s="37" t="n">
        <x:v>0.1</x:v>
      </x:c>
      <x:c r="I27" s="37" t="n">
        <x:v>0.1</x:v>
      </x:c>
    </x:row>
    <x:row r="28" ht="30" customHeight="1">
      <x:c r="A28" s="13" t="str">
        <x:v>Amortization / original principal</x:v>
      </x:c>
      <x:c r="B28" s="1"/>
      <x:c r="C28" s="1"/>
      <x:c r="D28" s="1"/>
      <x:c r="E28" s="37" t="n">
        <x:v>0.1</x:v>
      </x:c>
      <x:c r="F28" s="37" t="n">
        <x:v>0.1</x:v>
      </x:c>
      <x:c r="G28" s="37" t="n">
        <x:v>0.1</x:v>
      </x:c>
      <x:c r="H28" s="37" t="n">
        <x:v>0.1</x:v>
      </x:c>
      <x:c r="I28" s="37" t="n">
        <x:v>0.1</x:v>
      </x:c>
    </x:row>
    <x:row r="29" ht="30" customHeight="1">
      <x:c r="A29" s="13"/>
      <x:c r="B29" s="1"/>
      <x:c r="C29" s="1"/>
      <x:c r="D29" s="1"/>
      <x:c r="E29" s="1"/>
      <x:c r="F29" s="1"/>
      <x:c r="G29" s="1"/>
      <x:c r="H29" s="1"/>
      <x:c r="I29" s="1"/>
    </x:row>
    <x:row r="30" ht="25" customHeight="1">
      <x:c r="A30" s="21" t="str">
        <x:v>TRANSACTION AND FINANCING</x:v>
      </x:c>
      <x:c r="B30" s="10"/>
      <x:c r="C30" s="10"/>
      <x:c r="D30" s="10"/>
      <x:c r="E30" s="10"/>
      <x:c r="F30" s="10"/>
      <x:c r="G30" s="10"/>
      <x:c r="H30" s="10"/>
      <x:c r="I30" s="10"/>
    </x:row>
    <x:row r="31" ht="30" customHeight="1">
      <x:c r="A31" s="13"/>
      <x:c r="B31" s="1"/>
      <x:c r="C31" s="1"/>
      <x:c r="D31" s="1"/>
      <x:c r="E31" s="1"/>
      <x:c r="F31" s="1"/>
      <x:c r="G31" s="1"/>
      <x:c r="H31" s="1"/>
      <x:c r="I31" s="1"/>
    </x:row>
    <x:row r="32" ht="30" customHeight="1">
      <x:c r="A32" s="13" t="str">
        <x:v>Entry EBITDA</x:v>
      </x:c>
      <x:c r="B32" s="35" t="n">
        <x:f>D11</x:f>
        <x:v>40</x:v>
      </x:c>
      <x:c r="C32" s="1"/>
      <x:c r="D32" s="1"/>
      <x:c r="E32" s="1"/>
      <x:c r="F32" s="1"/>
      <x:c r="G32" s="1"/>
      <x:c r="H32" s="1"/>
      <x:c r="I32" s="1"/>
    </x:row>
    <x:row r="33" ht="30" customHeight="1">
      <x:c r="A33" s="13" t="str">
        <x:v>Entry EV / EBITDA</x:v>
      </x:c>
      <x:c r="B33" s="39" t="n">
        <x:v>8</x:v>
      </x:c>
      <x:c r="C33" s="1"/>
      <x:c r="D33" s="1"/>
      <x:c r="E33" s="1"/>
      <x:c r="F33" s="1"/>
      <x:c r="G33" s="1"/>
      <x:c r="H33" s="1"/>
      <x:c r="I33" s="1"/>
    </x:row>
    <x:row r="34" ht="30" customHeight="1">
      <x:c r="A34" s="13" t="str">
        <x:v>Purchase enterprise value</x:v>
      </x:c>
      <x:c r="B34" s="35" t="n">
        <x:f>B32*B33</x:f>
        <x:v>320</x:v>
      </x:c>
      <x:c r="C34" s="1"/>
      <x:c r="D34" s="1"/>
      <x:c r="E34" s="1"/>
      <x:c r="F34" s="1"/>
      <x:c r="G34" s="1"/>
      <x:c r="H34" s="1"/>
      <x:c r="I34" s="1"/>
    </x:row>
    <x:row r="35" ht="30" customHeight="1">
      <x:c r="A35" s="13" t="str">
        <x:v>Debt / entry EBITDA</x:v>
      </x:c>
      <x:c r="B35" s="39" t="n">
        <x:v>3</x:v>
      </x:c>
      <x:c r="C35" s="1"/>
      <x:c r="D35" s="1"/>
      <x:c r="E35" s="1"/>
      <x:c r="F35" s="1"/>
      <x:c r="G35" s="1"/>
      <x:c r="H35" s="1"/>
      <x:c r="I35" s="1"/>
    </x:row>
    <x:row r="36" ht="30" customHeight="1">
      <x:c r="A36" s="13" t="str">
        <x:v>New term loan</x:v>
      </x:c>
      <x:c r="B36" s="35" t="n">
        <x:f>B32*B35</x:f>
        <x:v>120</x:v>
      </x:c>
      <x:c r="C36" s="1"/>
      <x:c r="D36" s="1"/>
      <x:c r="E36" s="1"/>
      <x:c r="F36" s="1"/>
      <x:c r="G36" s="1"/>
      <x:c r="H36" s="1"/>
      <x:c r="I36" s="1"/>
    </x:row>
    <x:row r="37" ht="30" customHeight="1">
      <x:c r="A37" s="13" t="str">
        <x:v>One-time transaction fees</x:v>
      </x:c>
      <x:c r="B37" s="32" t="n">
        <x:v>4</x:v>
      </x:c>
      <x:c r="C37" s="1"/>
      <x:c r="D37" s="1"/>
      <x:c r="E37" s="1"/>
      <x:c r="F37" s="1"/>
      <x:c r="G37" s="1"/>
      <x:c r="H37" s="1"/>
      <x:c r="I37" s="1"/>
    </x:row>
    <x:row r="38" ht="30" customHeight="1">
      <x:c r="A38" s="24" t="str">
        <x:v>Total uses</x:v>
      </x:c>
      <x:c r="B38" s="47" t="n">
        <x:f>B34+B37</x:f>
        <x:v>324</x:v>
      </x:c>
      <x:c r="C38" s="27"/>
      <x:c r="D38" s="27"/>
      <x:c r="E38" s="27"/>
      <x:c r="F38" s="27"/>
      <x:c r="G38" s="27"/>
      <x:c r="H38" s="27"/>
      <x:c r="I38" s="27"/>
    </x:row>
    <x:row r="39" ht="30" customHeight="1">
      <x:c r="A39" s="24" t="str">
        <x:v>Sponsor equity investment</x:v>
      </x:c>
      <x:c r="B39" s="47" t="n">
        <x:f>B38-B36</x:f>
        <x:v>204</x:v>
      </x:c>
      <x:c r="C39" s="27"/>
      <x:c r="D39" s="27"/>
      <x:c r="E39" s="27"/>
      <x:c r="F39" s="27"/>
      <x:c r="G39" s="27"/>
      <x:c r="H39" s="27"/>
      <x:c r="I39" s="27"/>
    </x:row>
    <x:row r="40" ht="30" customHeight="1">
      <x:c r="A40" s="24" t="str">
        <x:v>Total sources</x:v>
      </x:c>
      <x:c r="B40" s="47" t="n">
        <x:f>B36+B39</x:f>
        <x:v>324</x:v>
      </x:c>
      <x:c r="C40" s="27"/>
      <x:c r="D40" s="27"/>
      <x:c r="E40" s="27"/>
      <x:c r="F40" s="27"/>
      <x:c r="G40" s="27"/>
      <x:c r="H40" s="27"/>
      <x:c r="I40" s="27"/>
    </x:row>
    <x:row r="41" ht="30" customHeight="1">
      <x:c r="A41" s="24" t="str">
        <x:v>Sources less uses</x:v>
      </x:c>
      <x:c r="B41" s="47" t="n">
        <x:f>B40-B38</x:f>
        <x:v>0</x:v>
      </x:c>
      <x:c r="C41" s="27"/>
      <x:c r="D41" s="27"/>
      <x:c r="E41" s="27"/>
      <x:c r="F41" s="27"/>
      <x:c r="G41" s="27"/>
      <x:c r="H41" s="27"/>
      <x:c r="I41" s="27"/>
    </x:row>
    <x:row r="42" ht="30" customHeight="1">
      <x:c r="A42" s="13" t="str">
        <x:v>Exit EV / EBITDA</x:v>
      </x:c>
      <x:c r="B42" s="39" t="n">
        <x:v>8</x:v>
      </x:c>
      <x:c r="C42" s="1"/>
      <x:c r="D42" s="1"/>
      <x:c r="E42" s="1"/>
      <x:c r="F42" s="1"/>
      <x:c r="G42" s="1"/>
      <x:c r="H42" s="1"/>
      <x:c r="I42" s="1"/>
    </x:row>
    <x:row r="43" ht="30" customHeight="1">
      <x:c r="A43" s="13" t="str">
        <x:v>Holding period (years)</x:v>
      </x:c>
      <x:c r="B43" s="41" t="n">
        <x:v>5</x:v>
      </x:c>
      <x:c r="C43" s="1"/>
      <x:c r="D43" s="1"/>
      <x:c r="E43" s="1"/>
      <x:c r="F43" s="1"/>
      <x:c r="G43" s="1"/>
      <x:c r="H43" s="1"/>
      <x:c r="I43" s="1"/>
    </x:row>
    <x:row r="44" ht="30" customHeight="1">
      <x:c r="A44" s="13" t="str">
        <x:v>Opening net working capital</x:v>
      </x:c>
      <x:c r="B44" s="32" t="n">
        <x:v>20</x:v>
      </x:c>
      <x:c r="C44" s="1"/>
      <x:c r="D44" s="1"/>
      <x:c r="E44" s="1"/>
      <x:c r="F44" s="1"/>
      <x:c r="G44" s="1"/>
      <x:c r="H44" s="1"/>
      <x:c r="I44" s="1"/>
    </x:row>
    <x:row r="45" ht="30" customHeight="1">
      <x:c r="A45" s="13" t="str">
        <x:v>Opening cash</x:v>
      </x:c>
      <x:c r="B45" s="32" t="n">
        <x:v>0</x:v>
      </x:c>
      <x:c r="C45" s="1"/>
      <x:c r="D45" s="1"/>
      <x:c r="E45" s="1"/>
      <x:c r="F45" s="1"/>
      <x:c r="G45" s="1"/>
      <x:c r="H45" s="1"/>
      <x:c r="I45" s="1"/>
    </x:row>
    <x:row r="46" ht="30" customHeight="1">
      <x:c r="A46" s="13" t="str">
        <x:v>Beginning debt</x:v>
      </x:c>
      <x:c r="B46" s="1"/>
      <x:c r="C46" s="1"/>
      <x:c r="D46" s="1"/>
      <x:c r="E46" s="35" t="n">
        <x:f>$B$36</x:f>
        <x:v>120</x:v>
      </x:c>
      <x:c r="F46" s="35" t="n">
        <x:f>E50</x:f>
        <x:v>108</x:v>
      </x:c>
      <x:c r="G46" s="35" t="n">
        <x:f>F50</x:f>
        <x:v>96</x:v>
      </x:c>
      <x:c r="H46" s="35" t="n">
        <x:f>G50</x:f>
        <x:v>84</x:v>
      </x:c>
      <x:c r="I46" s="35" t="n">
        <x:f>H50</x:f>
        <x:v>72</x:v>
      </x:c>
    </x:row>
    <x:row r="47" ht="30" customHeight="1">
      <x:c r="A47" s="13" t="str">
        <x:v>Interest on beginning debt</x:v>
      </x:c>
      <x:c r="B47" s="1"/>
      <x:c r="C47" s="1"/>
      <x:c r="D47" s="1"/>
      <x:c r="E47" s="35" t="n">
        <x:f>E46*E27</x:f>
        <x:v>12</x:v>
      </x:c>
      <x:c r="F47" s="35" t="n">
        <x:f>F46*F27</x:f>
        <x:v>10.8</x:v>
      </x:c>
      <x:c r="G47" s="35" t="n">
        <x:f>G46*G27</x:f>
        <x:v>9.600000000000001</x:v>
      </x:c>
      <x:c r="H47" s="35" t="n">
        <x:f>H46*H27</x:f>
        <x:v>8.4</x:v>
      </x:c>
      <x:c r="I47" s="35" t="n">
        <x:f>I46*I27</x:f>
        <x:v>7.2</x:v>
      </x:c>
    </x:row>
    <x:row r="48" ht="30" customHeight="1">
      <x:c r="A48" s="13" t="str">
        <x:v>Cash available before principal repayment</x:v>
      </x:c>
      <x:c r="B48" s="1"/>
      <x:c r="C48" s="1"/>
      <x:c r="D48" s="1"/>
      <x:c r="E48" s="35" t="n">
        <x:f>E62</x:f>
        <x:v>14.780000000000005</x:v>
      </x:c>
      <x:c r="F48" s="35" t="n">
        <x:f>F62</x:f>
        <x:v>17.5824</x:v>
      </x:c>
      <x:c r="G48" s="35" t="n">
        <x:f>G62</x:f>
        <x:v>20.536992000000005</x:v>
      </x:c>
      <x:c r="H48" s="35" t="n">
        <x:f>H62</x:f>
        <x:v>23.65595136</x:v>
      </x:c>
      <x:c r="I48" s="35" t="n">
        <x:f>I62</x:f>
        <x:v>26.9524274688</x:v>
      </x:c>
    </x:row>
    <x:row r="49" ht="30" customHeight="1">
      <x:c r="A49" s="13" t="str">
        <x:v>Scheduled principal repayment</x:v>
      </x:c>
      <x:c r="B49" s="1"/>
      <x:c r="C49" s="1"/>
      <x:c r="D49" s="1"/>
      <x:c r="E49" s="35" t="n">
        <x:f>MIN(E46,$B$36*E28)</x:f>
        <x:v>12</x:v>
      </x:c>
      <x:c r="F49" s="35" t="n">
        <x:f>MIN(F46,$B$36*F28)</x:f>
        <x:v>12</x:v>
      </x:c>
      <x:c r="G49" s="35" t="n">
        <x:f>MIN(G46,$B$36*G28)</x:f>
        <x:v>12</x:v>
      </x:c>
      <x:c r="H49" s="35" t="n">
        <x:f>MIN(H46,$B$36*H28)</x:f>
        <x:v>12</x:v>
      </x:c>
      <x:c r="I49" s="35" t="n">
        <x:f>MIN(I46,$B$36*I28)</x:f>
        <x:v>12</x:v>
      </x:c>
    </x:row>
    <x:row r="50" ht="30" customHeight="1">
      <x:c r="A50" s="24" t="str">
        <x:v>Ending debt</x:v>
      </x:c>
      <x:c r="B50" s="27"/>
      <x:c r="C50" s="27"/>
      <x:c r="D50" s="27"/>
      <x:c r="E50" s="47" t="n">
        <x:f>E46-E49</x:f>
        <x:v>108</x:v>
      </x:c>
      <x:c r="F50" s="47" t="n">
        <x:f>F46-F49</x:f>
        <x:v>96</x:v>
      </x:c>
      <x:c r="G50" s="47" t="n">
        <x:f>G46-G49</x:f>
        <x:v>84</x:v>
      </x:c>
      <x:c r="H50" s="47" t="n">
        <x:f>H46-H49</x:f>
        <x:v>72</x:v>
      </x:c>
      <x:c r="I50" s="47" t="n">
        <x:f>I46-I49</x:f>
        <x:v>60</x:v>
      </x:c>
    </x:row>
    <x:row r="51" ht="30" customHeight="1">
      <x:c r="A51" s="13" t="str">
        <x:v>Cash after principal repayment</x:v>
      </x:c>
      <x:c r="B51" s="1"/>
      <x:c r="C51" s="1"/>
      <x:c r="D51" s="1"/>
      <x:c r="E51" s="35" t="n">
        <x:f>E48-E49</x:f>
        <x:v>2.7800000000000047</x:v>
      </x:c>
      <x:c r="F51" s="35" t="n">
        <x:f>F48-F49</x:f>
        <x:v>5.5824</x:v>
      </x:c>
      <x:c r="G51" s="35" t="n">
        <x:f>G48-G49</x:f>
        <x:v>8.536992000000005</x:v>
      </x:c>
      <x:c r="H51" s="35" t="n">
        <x:f>H48-H49</x:f>
        <x:v>11.65595136</x:v>
      </x:c>
      <x:c r="I51" s="35" t="n">
        <x:f>I48-I49</x:f>
        <x:v>14.9524274688</x:v>
      </x:c>
    </x:row>
    <x:row r="52" ht="30" customHeight="1">
      <x:c r="A52" s="13" t="str">
        <x:v>Beginning cash</x:v>
      </x:c>
      <x:c r="B52" s="1"/>
      <x:c r="C52" s="1"/>
      <x:c r="D52" s="1"/>
      <x:c r="E52" s="35" t="n">
        <x:f>$B$45</x:f>
        <x:v>0</x:v>
      </x:c>
      <x:c r="F52" s="35" t="n">
        <x:f>E53</x:f>
        <x:v>2.7800000000000047</x:v>
      </x:c>
      <x:c r="G52" s="35" t="n">
        <x:f>F53</x:f>
        <x:v>8.362400000000004</x:v>
      </x:c>
      <x:c r="H52" s="35" t="n">
        <x:f>G53</x:f>
        <x:v>16.89939200000001</x:v>
      </x:c>
      <x:c r="I52" s="35" t="n">
        <x:f>H53</x:f>
        <x:v>28.55534336000001</x:v>
      </x:c>
    </x:row>
    <x:row r="53" ht="30" customHeight="1">
      <x:c r="A53" s="24" t="str">
        <x:v>Ending cash</x:v>
      </x:c>
      <x:c r="B53" s="27"/>
      <x:c r="C53" s="27"/>
      <x:c r="D53" s="27"/>
      <x:c r="E53" s="47" t="n">
        <x:f>E52+E51</x:f>
        <x:v>2.7800000000000047</x:v>
      </x:c>
      <x:c r="F53" s="47" t="n">
        <x:f>F52+F51</x:f>
        <x:v>8.362400000000004</x:v>
      </x:c>
      <x:c r="G53" s="47" t="n">
        <x:f>G52+G51</x:f>
        <x:v>16.89939200000001</x:v>
      </x:c>
      <x:c r="H53" s="47" t="n">
        <x:f>H52+H51</x:f>
        <x:v>28.55534336000001</x:v>
      </x:c>
      <x:c r="I53" s="47" t="n">
        <x:f>I52+I51</x:f>
        <x:v>43.507770828800005</x:v>
      </x:c>
    </x:row>
    <x:row r="54" ht="30" customHeight="1">
      <x:c r="A54" s="24" t="str">
        <x:v>Unfunded cash shortfall</x:v>
      </x:c>
      <x:c r="B54" s="27"/>
      <x:c r="C54" s="27"/>
      <x:c r="D54" s="27"/>
      <x:c r="E54" s="47" t="n">
        <x:f>MAX(0,-E53)</x:f>
        <x:v>0</x:v>
      </x:c>
      <x:c r="F54" s="47" t="n">
        <x:f>MAX(0,-F53)</x:f>
        <x:v>0</x:v>
      </x:c>
      <x:c r="G54" s="47" t="n">
        <x:f>MAX(0,-G53)</x:f>
        <x:v>0</x:v>
      </x:c>
      <x:c r="H54" s="47" t="n">
        <x:f>MAX(0,-H53)</x:f>
        <x:v>0</x:v>
      </x:c>
      <x:c r="I54" s="47" t="n">
        <x:f>MAX(0,-I53)</x:f>
        <x:v>0</x:v>
      </x:c>
    </x:row>
    <x:row r="55" ht="25" customHeight="1">
      <x:c r="A55" s="21" t="str">
        <x:v>CASH FLOW</x:v>
      </x:c>
      <x:c r="B55" s="10"/>
      <x:c r="C55" s="10"/>
      <x:c r="D55" s="10"/>
      <x:c r="E55" s="10"/>
      <x:c r="F55" s="10"/>
      <x:c r="G55" s="10"/>
      <x:c r="H55" s="10"/>
      <x:c r="I55" s="10"/>
    </x:row>
    <x:row r="56" ht="30" customHeight="1">
      <x:c r="A56" s="13"/>
      <x:c r="B56" s="1"/>
      <x:c r="C56" s="1"/>
      <x:c r="D56" s="1"/>
      <x:c r="E56" s="1"/>
      <x:c r="F56" s="1"/>
      <x:c r="G56" s="1"/>
      <x:c r="H56" s="1"/>
      <x:c r="I56" s="1"/>
    </x:row>
    <x:row r="57" ht="30" customHeight="1">
      <x:c r="A57" s="13" t="str">
        <x:v>Net income</x:v>
      </x:c>
      <x:c r="B57" s="1"/>
      <x:c r="C57" s="1"/>
      <x:c r="D57" s="1"/>
      <x:c r="E57" s="35" t="n">
        <x:f>E17</x:f>
        <x:v>18.540000000000006</x:v>
      </x:c>
      <x:c r="F57" s="35" t="n">
        <x:f>F17</x:f>
        <x:v>21.6432</x:v>
      </x:c>
      <x:c r="G57" s="35" t="n">
        <x:f>G17</x:f>
        <x:v>24.92265600000001</x:v>
      </x:c>
      <x:c r="H57" s="35" t="n">
        <x:f>H17</x:f>
        <x:v>28.392468480000005</x:v>
      </x:c>
      <x:c r="I57" s="35" t="n">
        <x:f>I17</x:f>
        <x:v>32.067865958400006</x:v>
      </x:c>
    </x:row>
    <x:row r="58" ht="30" customHeight="1">
      <x:c r="A58" s="13" t="str">
        <x:v>Add back D&amp;A</x:v>
      </x:c>
      <x:c r="B58" s="1"/>
      <x:c r="C58" s="1"/>
      <x:c r="D58" s="1"/>
      <x:c r="E58" s="35" t="n">
        <x:f>E12</x:f>
        <x:v>6.4799999999999995</x:v>
      </x:c>
      <x:c r="F58" s="35" t="n">
        <x:f>F12</x:f>
        <x:v>6.998400000000001</x:v>
      </x:c>
      <x:c r="G58" s="35" t="n">
        <x:f>G12</x:f>
        <x:v>7.558272000000001</x:v>
      </x:c>
      <x:c r="H58" s="35" t="n">
        <x:f>H12</x:f>
        <x:v>8.162933760000001</x:v>
      </x:c>
      <x:c r="I58" s="35" t="n">
        <x:f>I12</x:f>
        <x:v>8.815968460800002</x:v>
      </x:c>
    </x:row>
    <x:row r="59" ht="30" customHeight="1">
      <x:c r="A59" s="13" t="str">
        <x:v>Capital expenditure</x:v>
      </x:c>
      <x:c r="B59" s="1"/>
      <x:c r="C59" s="1"/>
      <x:c r="D59" s="1"/>
      <x:c r="E59" s="35" t="n">
        <x:f>E7*E24</x:f>
        <x:v>8.64</x:v>
      </x:c>
      <x:c r="F59" s="35" t="n">
        <x:f>F7*F24</x:f>
        <x:v>9.3312</x:v>
      </x:c>
      <x:c r="G59" s="35" t="n">
        <x:f>G7*G24</x:f>
        <x:v>10.077696000000001</x:v>
      </x:c>
      <x:c r="H59" s="35" t="n">
        <x:f>H7*H24</x:f>
        <x:v>10.883911680000004</x:v>
      </x:c>
      <x:c r="I59" s="35" t="n">
        <x:f>I7*I24</x:f>
        <x:v>11.754624614400004</x:v>
      </x:c>
    </x:row>
    <x:row r="60" ht="30" customHeight="1">
      <x:c r="A60" s="13" t="str">
        <x:v>Net working capital</x:v>
      </x:c>
      <x:c r="B60" s="1"/>
      <x:c r="C60" s="1"/>
      <x:c r="D60" s="35" t="n">
        <x:f>$B$44</x:f>
        <x:v>20</x:v>
      </x:c>
      <x:c r="E60" s="35" t="n">
        <x:f>E7*E25</x:f>
        <x:v>21.6</x:v>
      </x:c>
      <x:c r="F60" s="35" t="n">
        <x:f>F7*F25</x:f>
        <x:v>23.328000000000003</x:v>
      </x:c>
      <x:c r="G60" s="35" t="n">
        <x:f>G7*G25</x:f>
        <x:v>25.194240000000008</x:v>
      </x:c>
      <x:c r="H60" s="35" t="n">
        <x:f>H7*H25</x:f>
        <x:v>27.20977920000001</x:v>
      </x:c>
      <x:c r="I60" s="35" t="n">
        <x:f>I7*I25</x:f>
        <x:v>29.386561536000013</x:v>
      </x:c>
    </x:row>
    <x:row r="61" ht="30" customHeight="1">
      <x:c r="A61" s="13" t="str">
        <x:v>Increase in net working capital</x:v>
      </x:c>
      <x:c r="B61" s="1"/>
      <x:c r="C61" s="1"/>
      <x:c r="D61" s="1"/>
      <x:c r="E61" s="35" t="n">
        <x:f>E60-D60</x:f>
        <x:v>1.6000000000000014</x:v>
      </x:c>
      <x:c r="F61" s="35" t="n">
        <x:f>F60-E60</x:f>
        <x:v>1.7280000000000015</x:v>
      </x:c>
      <x:c r="G61" s="35" t="n">
        <x:f>G60-F60</x:f>
        <x:v>1.8662400000000048</x:v>
      </x:c>
      <x:c r="H61" s="35" t="n">
        <x:f>H60-G60</x:f>
        <x:v>2.0155392000000028</x:v>
      </x:c>
      <x:c r="I61" s="35" t="n">
        <x:f>I60-H60</x:f>
        <x:v>2.1767823360000023</x:v>
      </x:c>
    </x:row>
    <x:row r="62" ht="30" customHeight="1">
      <x:c r="A62" s="24" t="str">
        <x:v>Cash available before principal repayment</x:v>
      </x:c>
      <x:c r="B62" s="27"/>
      <x:c r="C62" s="27"/>
      <x:c r="D62" s="27"/>
      <x:c r="E62" s="47" t="n">
        <x:f>E57+E58-E59-E61</x:f>
        <x:v>14.780000000000005</x:v>
      </x:c>
      <x:c r="F62" s="47" t="n">
        <x:f>F57+F58-F59-F61</x:f>
        <x:v>17.5824</x:v>
      </x:c>
      <x:c r="G62" s="47" t="n">
        <x:f>G57+G58-G59-G61</x:f>
        <x:v>20.536992000000005</x:v>
      </x:c>
      <x:c r="H62" s="47" t="n">
        <x:f>H57+H58-H59-H61</x:f>
        <x:v>23.65595136</x:v>
      </x:c>
      <x:c r="I62" s="47" t="n">
        <x:f>I57+I58-I59-I61</x:f>
        <x:v>26.9524274688</x:v>
      </x:c>
    </x:row>
    <x:row r="63" ht="30" customHeight="1">
      <x:c r="A63" s="13"/>
      <x:c r="B63" s="1"/>
      <x:c r="C63" s="1"/>
      <x:c r="D63" s="1"/>
      <x:c r="E63" s="1"/>
      <x:c r="F63" s="1"/>
      <x:c r="G63" s="1"/>
      <x:c r="H63" s="1"/>
      <x:c r="I63" s="1"/>
    </x:row>
    <x:row r="64" ht="25" customHeight="1">
      <x:c r="A64" s="21" t="str">
        <x:v>SPONSOR RETURNS</x:v>
      </x:c>
      <x:c r="B64" s="10"/>
      <x:c r="C64" s="10"/>
      <x:c r="D64" s="10"/>
      <x:c r="E64" s="10"/>
      <x:c r="F64" s="10"/>
      <x:c r="G64" s="10"/>
      <x:c r="H64" s="10"/>
      <x:c r="I64" s="10"/>
    </x:row>
    <x:row r="65" ht="30" customHeight="1">
      <x:c r="A65" s="13" t="str">
        <x:v>Exit EBITDA</x:v>
      </x:c>
      <x:c r="B65" s="35" t="n">
        <x:f>I11</x:f>
        <x:v>58.77312307200001</x:v>
      </x:c>
      <x:c r="C65" s="1"/>
      <x:c r="D65" s="1"/>
      <x:c r="E65" s="1"/>
      <x:c r="F65" s="1"/>
      <x:c r="G65" s="1"/>
      <x:c r="H65" s="1"/>
      <x:c r="I65" s="1"/>
    </x:row>
    <x:row r="66" ht="30" customHeight="1">
      <x:c r="A66" s="13" t="str">
        <x:v>Exit enterprise value</x:v>
      </x:c>
      <x:c r="B66" s="35" t="n">
        <x:f>B65*B42</x:f>
        <x:v>470.1849845760001</x:v>
      </x:c>
      <x:c r="C66" s="1"/>
      <x:c r="D66" s="1"/>
      <x:c r="E66" s="1"/>
      <x:c r="F66" s="1"/>
      <x:c r="G66" s="1"/>
      <x:c r="H66" s="1"/>
      <x:c r="I66" s="1"/>
    </x:row>
    <x:row r="67" ht="30" customHeight="1">
      <x:c r="A67" s="13" t="str">
        <x:v>Less: exit debt</x:v>
      </x:c>
      <x:c r="B67" s="35" t="n">
        <x:f>I50</x:f>
        <x:v>60</x:v>
      </x:c>
      <x:c r="C67" s="1"/>
      <x:c r="D67" s="1"/>
      <x:c r="E67" s="1"/>
      <x:c r="F67" s="1"/>
      <x:c r="G67" s="1"/>
      <x:c r="H67" s="1"/>
      <x:c r="I67" s="1"/>
    </x:row>
    <x:row r="68" ht="30" customHeight="1">
      <x:c r="A68" s="13" t="str">
        <x:v>Add: exit cash</x:v>
      </x:c>
      <x:c r="B68" s="35" t="n">
        <x:f>I53</x:f>
        <x:v>43.507770828800005</x:v>
      </x:c>
      <x:c r="C68" s="1"/>
      <x:c r="D68" s="1"/>
      <x:c r="E68" s="1"/>
      <x:c r="F68" s="1"/>
      <x:c r="G68" s="1"/>
      <x:c r="H68" s="1"/>
      <x:c r="I68" s="1"/>
    </x:row>
    <x:row r="69" ht="30" customHeight="1">
      <x:c r="A69" s="24" t="str">
        <x:v>Sponsor exit equity proceeds</x:v>
      </x:c>
      <x:c r="B69" s="47" t="n">
        <x:f>B66-B67+B68</x:f>
        <x:v>453.6927554048001</x:v>
      </x:c>
      <x:c r="C69" s="27"/>
      <x:c r="D69" s="27"/>
      <x:c r="E69" s="27"/>
      <x:c r="F69" s="27"/>
      <x:c r="G69" s="27"/>
      <x:c r="H69" s="27"/>
      <x:c r="I69" s="27"/>
    </x:row>
    <x:row r="70" ht="30" customHeight="1">
      <x:c r="A70" s="24" t="str">
        <x:v>Multiple of invested capital (MOIC)</x:v>
      </x:c>
      <x:c r="B70" s="49" t="n">
        <x:f>B69/B39</x:f>
        <x:v>2.223984095121569</x:v>
      </x:c>
      <x:c r="C70" s="27"/>
      <x:c r="D70" s="27"/>
      <x:c r="E70" s="27"/>
      <x:c r="F70" s="27"/>
      <x:c r="G70" s="27"/>
      <x:c r="H70" s="27"/>
      <x:c r="I70" s="27"/>
    </x:row>
    <x:row r="71" ht="30" customHeight="1">
      <x:c r="A71" s="24" t="str">
        <x:v>Annualized equity return (IRR)</x:v>
      </x:c>
      <x:c r="B71" s="51" t="n">
        <x:f>B70^(1/B43)-1</x:f>
        <x:v>0.17334664374420838</x:v>
      </x:c>
      <x:c r="C71" s="27"/>
      <x:c r="D71" s="27"/>
      <x:c r="E71" s="27"/>
      <x:c r="F71" s="27"/>
      <x:c r="G71" s="27"/>
      <x:c r="H71" s="27"/>
      <x:c r="I71" s="27"/>
    </x:row>
    <x:row r="72" ht="30" customHeight="1">
      <x:c r="A72" s="13"/>
      <x:c r="B72" s="1"/>
      <x:c r="C72" s="1"/>
      <x:c r="D72" s="1"/>
      <x:c r="E72" s="1"/>
      <x:c r="F72" s="1"/>
      <x:c r="G72" s="1"/>
      <x:c r="H72" s="1"/>
      <x:c r="I72" s="1"/>
    </x:row>
    <x:row r="73" ht="25" customHeight="1">
      <x:c r="A73" s="21" t="str">
        <x:v>LOWER EXIT MULTIPLE</x:v>
      </x:c>
      <x:c r="B73" s="10"/>
      <x:c r="C73" s="10"/>
      <x:c r="D73" s="10"/>
      <x:c r="E73" s="10"/>
      <x:c r="F73" s="10"/>
      <x:c r="G73" s="10"/>
      <x:c r="H73" s="10"/>
      <x:c r="I73" s="10"/>
    </x:row>
    <x:row r="74" ht="30" customHeight="1">
      <x:c r="A74" s="13" t="str">
        <x:v>Downside exit EV / EBITDA</x:v>
      </x:c>
      <x:c r="B74" s="39" t="n">
        <x:v>7</x:v>
      </x:c>
      <x:c r="C74" s="1"/>
      <x:c r="D74" s="1"/>
      <x:c r="E74" s="1"/>
      <x:c r="F74" s="1"/>
      <x:c r="G74" s="1"/>
      <x:c r="H74" s="1"/>
      <x:c r="I74" s="1"/>
    </x:row>
    <x:row r="75" ht="30" customHeight="1">
      <x:c r="A75" s="13" t="str">
        <x:v>Downside exit enterprise value</x:v>
      </x:c>
      <x:c r="B75" s="35" t="n">
        <x:f>B65*B74</x:f>
        <x:v>411.41186150400006</x:v>
      </x:c>
      <x:c r="C75" s="1"/>
      <x:c r="D75" s="1"/>
      <x:c r="E75" s="1"/>
      <x:c r="F75" s="1"/>
      <x:c r="G75" s="1"/>
      <x:c r="H75" s="1"/>
      <x:c r="I75" s="1"/>
    </x:row>
    <x:row r="76" ht="30" customHeight="1">
      <x:c r="A76" s="13" t="str">
        <x:v>Downside equity proceeds</x:v>
      </x:c>
      <x:c r="B76" s="35" t="n">
        <x:f>B75-B67+B68</x:f>
        <x:v>394.91963233280006</x:v>
      </x:c>
      <x:c r="C76" s="1"/>
      <x:c r="D76" s="1"/>
      <x:c r="E76" s="1"/>
      <x:c r="F76" s="1"/>
      <x:c r="G76" s="1"/>
      <x:c r="H76" s="1"/>
      <x:c r="I76" s="1"/>
    </x:row>
    <x:row r="77" ht="30" customHeight="1">
      <x:c r="A77" s="24" t="str">
        <x:v>Downside MOIC</x:v>
      </x:c>
      <x:c r="B77" s="49" t="n">
        <x:f>B76/B39</x:f>
        <x:v>1.9358805506509806</x:v>
      </x:c>
      <x:c r="C77" s="27"/>
      <x:c r="D77" s="27"/>
      <x:c r="E77" s="27"/>
      <x:c r="F77" s="27"/>
      <x:c r="G77" s="27"/>
      <x:c r="H77" s="27"/>
      <x:c r="I77" s="27"/>
    </x:row>
    <x:row r="78" ht="30" customHeight="1">
      <x:c r="A78" s="24" t="str">
        <x:v>Downside IRR</x:v>
      </x:c>
      <x:c r="B78" s="51" t="n">
        <x:f>B77^(1/B43)-1</x:f>
        <x:v>0.14123665276483877</x:v>
      </x:c>
      <x:c r="C78" s="27"/>
      <x:c r="D78" s="27"/>
      <x:c r="E78" s="27"/>
      <x:c r="F78" s="27"/>
      <x:c r="G78" s="27"/>
      <x:c r="H78" s="27"/>
      <x:c r="I78" s="27"/>
    </x:row>
    <x:row r="79" ht="30" customHeight="1">
      <x:c r="A79" s="13"/>
      <x:c r="B79" s="1"/>
      <x:c r="C79" s="1"/>
      <x:c r="D79" s="1"/>
      <x:c r="E79" s="1"/>
      <x:c r="F79" s="1"/>
      <x:c r="G79" s="1"/>
      <x:c r="H79" s="1"/>
      <x:c r="I79" s="1"/>
    </x:row>
    <x:row r="80" ht="25" customHeight="1">
      <x:c r="A80" s="21" t="str">
        <x:v>RECONCILIATION CHECKS</x:v>
      </x:c>
      <x:c r="B80" s="10"/>
      <x:c r="C80" s="10"/>
      <x:c r="D80" s="10"/>
      <x:c r="E80" s="10"/>
      <x:c r="F80" s="10"/>
      <x:c r="G80" s="10"/>
      <x:c r="H80" s="10"/>
      <x:c r="I80" s="10"/>
    </x:row>
    <x:row r="81" ht="30" customHeight="1">
      <x:c r="A81" s="24" t="str">
        <x:v>Sources less uses (target zero)</x:v>
      </x:c>
      <x:c r="B81" s="47" t="n">
        <x:f>B41</x:f>
        <x:v>0</x:v>
      </x:c>
      <x:c r="C81" s="27"/>
      <x:c r="D81" s="27"/>
      <x:c r="E81" s="27"/>
      <x:c r="F81" s="27"/>
      <x:c r="G81" s="27"/>
      <x:c r="H81" s="27"/>
      <x:c r="I81" s="27"/>
    </x:row>
    <x:row r="82" ht="30" customHeight="1">
      <x:c r="A82" s="24" t="str">
        <x:v>Debt roll-forward difference (target zero)</x:v>
      </x:c>
      <x:c r="B82" s="47" t="n">
        <x:f>B36-SUM(E49:I49)-I50</x:f>
        <x:v>0</x:v>
      </x:c>
      <x:c r="C82" s="27"/>
      <x:c r="D82" s="27"/>
      <x:c r="E82" s="27"/>
      <x:c r="F82" s="27"/>
      <x:c r="G82" s="27"/>
      <x:c r="H82" s="27"/>
      <x:c r="I82" s="27"/>
    </x:row>
    <x:row r="83" ht="30" customHeight="1">
      <x:c r="A83" s="24" t="str">
        <x:v>Cash roll-forward difference (target zero)</x:v>
      </x:c>
      <x:c r="B83" s="47" t="n">
        <x:f>B45+SUM(E51:I51)-I53</x:f>
        <x:v>0</x:v>
      </x:c>
      <x:c r="C83" s="27"/>
      <x:c r="D83" s="27"/>
      <x:c r="E83" s="27"/>
      <x:c r="F83" s="27"/>
      <x:c r="G83" s="27"/>
      <x:c r="H83" s="27"/>
      <x:c r="I83" s="27"/>
    </x:row>
    <x:row r="84" ht="30" customHeight="1">
      <x:c r="A84" s="13" t="str">
        <x:v>Minimum year-end cash (must be nonnegative)</x:v>
      </x:c>
      <x:c r="B84" s="35" t="n">
        <x:f>MIN(E53:I53)</x:f>
        <x:v>2.7800000000000047</x:v>
      </x:c>
      <x:c r="C84" s="1"/>
      <x:c r="D84" s="1"/>
      <x:c r="E84" s="1"/>
      <x:c r="F84" s="1"/>
      <x:c r="G84" s="1"/>
      <x:c r="H84" s="1"/>
      <x:c r="I84" s="1"/>
    </x:row>
    <x:row r="85" ht="30" customHeight="1">
      <x:c r="A85" s="13" t="str">
        <x:v>Year 1 EBITDA / interest</x:v>
      </x:c>
      <x:c r="B85" s="43" t="n">
        <x:f>E11/E47</x:f>
        <x:v>3.6</x:v>
      </x:c>
      <x:c r="C85" s="1"/>
      <x:c r="D85" s="1"/>
      <x:c r="E85" s="1"/>
      <x:c r="F85" s="1"/>
      <x:c r="G85" s="1"/>
      <x:c r="H85" s="1"/>
      <x:c r="I85" s="1"/>
    </x:row>
    <x:row r="86" ht="22" customHeight="1">
      <x:c r="A86" s="1"/>
      <x:c r="B86" s="1"/>
      <x:c r="C86" s="1"/>
      <x:c r="D86" s="1"/>
      <x:c r="E86" s="1"/>
      <x:c r="F86" s="1"/>
      <x:c r="G86" s="1"/>
      <x:c r="H86" s="1"/>
      <x:c r="I86" s="1"/>
    </x:row>
    <x:row r="87" ht="22" customHeight="1">
      <x:c r="A87" s="13" t="str">
        <x:v>Blue numeric inputs; black same-sheet formulas. Model and app use identical cell addresses. DS = rows 46:54. All expenses positive. Loan amortization is principal repayment; D&amp;A is an accounting expense.</x:v>
      </x:c>
      <x:c r="B87" s="13"/>
      <x:c r="C87" s="13"/>
      <x:c r="D87" s="13"/>
      <x:c r="E87" s="13"/>
      <x:c r="F87" s="13"/>
      <x:c r="G87" s="13"/>
      <x:c r="H87" s="13"/>
      <x:c r="I87" s="13"/>
    </x:row>
    <x:row r="88" ht="22" customHeight="1">
      <x:c r="A88" s="13"/>
      <x:c r="B88" s="13"/>
      <x:c r="C88" s="13"/>
      <x:c r="D88" s="13"/>
      <x:c r="E88" s="13"/>
      <x:c r="F88" s="13"/>
      <x:c r="G88" s="13"/>
      <x:c r="H88" s="13"/>
      <x:c r="I88" s="13"/>
    </x:row>
    <x:row r="89" ht="22" customHeight="1">
      <x:c r="A89" s="1"/>
      <x:c r="B89" s="1"/>
      <x:c r="C89" s="1"/>
      <x:c r="D89" s="1"/>
      <x:c r="E89" s="1"/>
      <x:c r="F89" s="1"/>
      <x:c r="G89" s="1"/>
      <x:c r="H89" s="1"/>
      <x:c r="I89" s="1"/>
    </x:row>
    <x:row r="90" ht="22" customHeight="1">
      <x:c r="A90" s="13" t="str">
        <x:v>Sources: CedarPack-Data.xlsx; all figures are fictional. Simplified cash-flow LBO adapted from Rosenbaum &amp; Pearl, Investment Banking, Chapter 5. No full balance sheet or purchase accounting. IRR assumes one initial investment and one receipt exactly five years later.</x:v>
      </x:c>
      <x:c r="B90" s="13"/>
      <x:c r="C90" s="13"/>
      <x:c r="D90" s="13"/>
      <x:c r="E90" s="13"/>
      <x:c r="F90" s="13"/>
      <x:c r="G90" s="13"/>
      <x:c r="H90" s="13"/>
      <x:c r="I90" s="13"/>
    </x:row>
    <x:row r="91" ht="22" customHeight="1">
      <x:c r="A91" s="13"/>
      <x:c r="B91" s="13"/>
      <x:c r="C91" s="13"/>
      <x:c r="D91" s="13"/>
      <x:c r="E91" s="13"/>
      <x:c r="F91" s="13"/>
      <x:c r="G91" s="13"/>
      <x:c r="H91" s="13"/>
      <x:c r="I91" s="13"/>
    </x:row>
    <x:row r="92" ht="22" customHeight="1">
      <x:c r="A92" s="13"/>
      <x:c r="B92" s="13"/>
      <x:c r="C92" s="13"/>
      <x:c r="D92" s="13"/>
      <x:c r="E92" s="13"/>
      <x:c r="F92" s="13"/>
      <x:c r="G92" s="13"/>
      <x:c r="H92" s="13"/>
      <x:c r="I92" s="13"/>
    </x:row>
    <x:row r="93" ht="22" customHeight="1">
      <x:c r="A93" s="1"/>
      <x:c r="B93" s="1"/>
      <x:c r="C93" s="1"/>
      <x:c r="D93" s="1"/>
      <x:c r="E93" s="1"/>
      <x:c r="F93" s="1"/>
      <x:c r="G93" s="1"/>
      <x:c r="H93" s="1"/>
      <x:c r="I93" s="1"/>
    </x:row>
  </x:sheetData>
  <x:mergeCells>
    <x:mergeCell ref="A87:I88"/>
    <x:mergeCell ref="A90:I92"/>
  </x:mergeCells>
  <x:pageMargins left="0.7" right="0.7" top="0.75" bottom="0.75" header="0.3" footer="0.3"/>
</x:worksheet>
</file>