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398b55ad404e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istorical" sheetId="1" r:id="R7854348e05794ee9"/>
    <x:sheet xmlns:r="http://schemas.openxmlformats.org/officeDocument/2006/relationships" name="Assumptions" sheetId="2" r:id="R31243459f24d4ac1"/>
    <x:sheet xmlns:r="http://schemas.openxmlformats.org/officeDocument/2006/relationships" name="Transaction" sheetId="3" r:id="Rda9f4b6656434619"/>
    <x:sheet xmlns:r="http://schemas.openxmlformats.org/officeDocument/2006/relationships" name="Case brief" sheetId="4" r:id="R848c1a0270a747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200" formatCode="&quot;FY&quot;yyyy&quot;A&quot;"/>
    <x:numFmt numFmtId="201" formatCode="#,##0.00;(#,##0.00);&quot;-&quot;"/>
    <x:numFmt numFmtId="202" formatCode="0.00"/>
    <x:numFmt numFmtId="203" formatCode="0.000"/>
    <x:numFmt numFmtId="204" formatCode="&quot;FY&quot;yyyy&quot;E&quot;"/>
    <x:numFmt numFmtId="205" formatCode="0.0%;(0.0%);&quot;-&quot;"/>
    <x:numFmt numFmtId="206" formatCode="0.0&quot;x&quot;"/>
    <x:numFmt numFmtId="207" formatCode="#,##0.00"/>
    <x:numFmt numFmtId="208" formatCode="0"/>
  </x:numFmts>
  <x:fonts count="9">
    <x:font>
      <x:sz val="11"/>
      <x:name val="Carlito"/>
    </x:font>
    <x:font>
      <x:sz val="11"/>
      <x:color rgb="FF182C40"/>
      <x:name val="Arial"/>
    </x:font>
    <x:font>
      <x:b/>
      <x:sz val="16"/>
      <x:color rgb="FF182C40"/>
      <x:name val="Arial"/>
    </x:font>
    <x:font>
      <x:i/>
      <x:sz val="10"/>
      <x:color rgb="FF52677B"/>
      <x:name val="Arial"/>
    </x:font>
    <x:font>
      <x:b/>
      <x:sz val="11"/>
      <x:color rgb="FFFFFFFF"/>
      <x:name val="Arial"/>
    </x:font>
    <x:font>
      <x:sz val="11"/>
      <x:color rgb="FF0000FF"/>
      <x:name val="Arial"/>
    </x:font>
    <x:font>
      <x:sz val="11"/>
      <x:color rgb="FF000000"/>
      <x:name val="Arial"/>
    </x:font>
    <x:font>
      <x:b/>
      <x:sz val="11"/>
      <x:color rgb="FF182C40"/>
      <x:name val="Arial"/>
    </x:font>
    <x:font>
      <x:b/>
      <x:sz val="11"/>
      <x:color rgb="FF00000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8384F"/>
      </x:patternFill>
    </x:fill>
  </x:fills>
  <x:borders count="3">
    <x:border/>
    <x:border>
      <x:bottom style="thin">
        <x:color rgb="FF18384F"/>
      </x:bottom>
    </x:border>
    <x:border>
      <x:top style="thin">
        <x:color rgb="FFA8B7C3"/>
      </x:top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2" borderId="0" xfId="0" applyNumberFormat="1" applyFont="1" applyFill="1" applyBorder="1"/>
    <x:xf numFmtId="200" fontId="1" fillId="2" borderId="0" xfId="0" applyNumberFormat="1" applyFont="1" applyFill="1" applyBorder="1"/>
    <x:xf numFmtId="0" fontId="4" fillId="2" borderId="0" xfId="0" applyNumberFormat="1" applyFont="1" applyFill="1" applyBorder="1"/>
    <x:xf numFmtId="200" fontId="4" fillId="2" borderId="0" xfId="0" applyNumberFormat="1" applyFont="1" applyFill="1" applyBorder="1"/>
    <x:xf numFmtId="0" fontId="5" fillId="0" borderId="0" xfId="0" applyNumberFormat="1" applyFont="1" applyFill="1" applyBorder="1"/>
    <x:xf numFmtId="201" fontId="5" fillId="0" borderId="0" xfId="0" applyNumberFormat="1" applyFont="1" applyFill="1" applyBorder="1"/>
    <x:xf numFmtId="201" fontId="5" fillId="0" borderId="0" xfId="0" applyNumberFormat="1" applyFont="1" applyFill="1" applyBorder="1" applyAlignment="1">
      <x:alignment horizontal="right"/>
    </x:xf>
    <x:xf numFmtId="0" fontId="6" fillId="0" borderId="0" xfId="0" applyNumberFormat="1" applyFont="1" applyFill="1" applyBorder="1"/>
    <x:xf numFmtId="201" fontId="6" fillId="0" borderId="0" xfId="0" applyNumberFormat="1" applyFont="1" applyFill="1" applyBorder="1"/>
    <x:xf numFmtId="201" fontId="6" fillId="0" borderId="0" xfId="0" applyNumberFormat="1" applyFont="1" applyFill="1" applyBorder="1" applyAlignment="1">
      <x:alignment horizontal="right"/>
    </x:xf>
    <x:xf numFmtId="0" fontId="7" fillId="0" borderId="0" xfId="0" applyNumberFormat="1" applyFont="1" applyFill="1" applyBorder="1"/>
    <x:xf numFmtId="201" fontId="8" fillId="0" borderId="0" xfId="0" applyNumberFormat="1" applyFont="1" applyFill="1" applyBorder="1" applyAlignment="1">
      <x:alignment horizontal="right"/>
    </x:xf>
    <x:xf numFmtId="0" fontId="7" fillId="0" borderId="2" xfId="0" applyNumberFormat="1" applyFont="1" applyFill="1" applyBorder="1"/>
    <x:xf numFmtId="201" fontId="8" fillId="0" borderId="2" xfId="0" applyNumberFormat="1" applyFont="1" applyFill="1" applyBorder="1" applyAlignment="1">
      <x:alignment horizontal="right"/>
    </x:xf>
    <x:xf numFmtId="202" fontId="5" fillId="0" borderId="0" xfId="0" applyNumberFormat="1" applyFont="1" applyFill="1" applyBorder="1" applyAlignment="1">
      <x:alignment horizontal="right"/>
    </x:xf>
    <x:xf numFmtId="203" fontId="5" fillId="0" borderId="0" xfId="0" applyNumberFormat="1" applyFont="1" applyFill="1" applyBorder="1" applyAlignment="1">
      <x:alignment horizontal="right"/>
    </x:xf>
    <x:xf numFmtId="0" fontId="1" fillId="0" borderId="0" xfId="0" applyNumberFormat="1" applyFont="1" applyFill="1" applyBorder="1" applyAlignment="1">
      <x:alignment wrapText="1"/>
    </x:xf>
    <x:xf numFmtId="204" fontId="1" fillId="0" borderId="0" xfId="0" applyNumberFormat="1" applyFont="1" applyFill="1" applyBorder="1"/>
    <x:xf numFmtId="204" fontId="1" fillId="2" borderId="0" xfId="0" applyNumberFormat="1" applyFont="1" applyFill="1" applyBorder="1"/>
    <x:xf numFmtId="204" fontId="4" fillId="2" borderId="0" xfId="0" applyNumberFormat="1" applyFont="1" applyFill="1" applyBorder="1"/>
    <x:xf numFmtId="205" fontId="5" fillId="0" borderId="0" xfId="0" applyNumberFormat="1" applyFont="1" applyFill="1" applyBorder="1"/>
    <x:xf numFmtId="205" fontId="5" fillId="0" borderId="0" xfId="0" applyNumberFormat="1" applyFont="1" applyFill="1" applyBorder="1" applyAlignment="1">
      <x:alignment horizontal="right"/>
    </x:xf>
    <x:xf numFmtId="206" fontId="5" fillId="0" borderId="0" xfId="0" applyNumberFormat="1" applyFont="1" applyFill="1" applyBorder="1"/>
    <x:xf numFmtId="207" fontId="5" fillId="0" borderId="0" xfId="0" applyNumberFormat="1" applyFont="1" applyFill="1" applyBorder="1"/>
    <x:xf numFmtId="208" fontId="5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f1670f07c04064" /><Relationship Type="http://schemas.openxmlformats.org/officeDocument/2006/relationships/theme" Target="/xl/theme/theme1.xml" Id="Rd8d9eb92ecf140dd" /><Relationship Type="http://schemas.openxmlformats.org/officeDocument/2006/relationships/sharedStrings" Target="/xl/sharedStrings.xml" Id="R2dc85d3d6dec444f" /><Relationship Type="http://schemas.openxmlformats.org/officeDocument/2006/relationships/worksheet" Target="/xl/worksheets/sheet1.xml" Id="R7854348e05794ee9" /><Relationship Type="http://schemas.openxmlformats.org/officeDocument/2006/relationships/worksheet" Target="/xl/worksheets/sheet2.xml" Id="R31243459f24d4ac1" /><Relationship Type="http://schemas.openxmlformats.org/officeDocument/2006/relationships/worksheet" Target="/xl/worksheets/sheet3.xml" Id="Rda9f4b6656434619" /><Relationship Type="http://schemas.openxmlformats.org/officeDocument/2006/relationships/worksheet" Target="/xl/worksheets/sheet4.xml" Id="R848c1a0270a7479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" hidden="0" customWidth="1"/>
    <x:col min="2" max="2" width="15" hidden="0" customWidth="1"/>
    <x:col min="3" max="3" width="15" hidden="0" customWidth="1"/>
    <x:col min="4" max="4" width="15" hidden="0" customWidth="1"/>
  </x:cols>
  <x:sheetData>
    <x:row r="1" ht="22" customHeight="1">
      <x:c r="A1" s="1"/>
      <x:c r="B1" s="1"/>
      <x:c r="C1" s="1"/>
      <x:c r="D1" s="1"/>
    </x:row>
    <x:row r="2" ht="28" customHeight="1">
      <x:c r="A2" s="3" t="str">
        <x:v>CedarPack historical income statement</x:v>
      </x:c>
      <x:c r="B2" s="3"/>
      <x:c r="C2" s="3"/>
      <x:c r="D2" s="3"/>
    </x:row>
    <x:row r="3" ht="22" customHeight="1">
      <x:c r="A3" s="4" t="str">
        <x:v>INR crore. Years ended 31 March. Fictional classroom case.</x:v>
      </x:c>
      <x:c r="B3" s="4"/>
      <x:c r="C3" s="4"/>
      <x:c r="D3" s="4"/>
    </x:row>
    <x:row r="4" ht="22" customHeight="1">
      <x:c r="A4" s="1"/>
      <x:c r="B4" s="1"/>
      <x:c r="C4" s="1"/>
      <x:c r="D4" s="1"/>
    </x:row>
    <x:row r="5" ht="22" customHeight="1">
      <x:c r="A5" s="1"/>
      <x:c r="B5" s="1"/>
      <x:c r="C5" s="1"/>
      <x:c r="D5" s="1"/>
    </x:row>
    <x:row r="6" ht="25" customHeight="1">
      <x:c r="A6" s="8" t="str">
        <x:v>Line item</x:v>
      </x:c>
      <x:c r="B6" s="9" t="n">
        <x:v>45382</x:v>
      </x:c>
      <x:c r="C6" s="9" t="n">
        <x:v>45747</x:v>
      </x:c>
      <x:c r="D6" s="9" t="n">
        <x:v>46112</x:v>
      </x:c>
    </x:row>
    <x:row r="7" ht="22" customHeight="1">
      <x:c r="A7" s="1" t="str">
        <x:v>Revenue</x:v>
      </x:c>
      <x:c r="B7" s="12" t="n">
        <x:v>160</x:v>
      </x:c>
      <x:c r="C7" s="12" t="n">
        <x:v>180</x:v>
      </x:c>
      <x:c r="D7" s="12" t="n">
        <x:v>200</x:v>
      </x:c>
    </x:row>
    <x:row r="8" ht="22" customHeight="1">
      <x:c r="A8" s="1" t="str">
        <x:v>Cost of goods sold</x:v>
      </x:c>
      <x:c r="B8" s="12" t="n">
        <x:v>96</x:v>
      </x:c>
      <x:c r="C8" s="12" t="n">
        <x:v>108</x:v>
      </x:c>
      <x:c r="D8" s="12" t="n">
        <x:v>120</x:v>
      </x:c>
    </x:row>
    <x:row r="9" ht="22" customHeight="1">
      <x:c r="A9" s="18" t="str">
        <x:v>Gross profit</x:v>
      </x:c>
      <x:c r="B9" s="19" t="n">
        <x:f>B7-B8</x:f>
        <x:v>64</x:v>
      </x:c>
      <x:c r="C9" s="19" t="n">
        <x:f>C7-C8</x:f>
        <x:v>72</x:v>
      </x:c>
      <x:c r="D9" s="19" t="n">
        <x:f>D7-D8</x:f>
        <x:v>80</x:v>
      </x:c>
    </x:row>
    <x:row r="10" ht="22" customHeight="1">
      <x:c r="A10" s="1" t="str">
        <x:v>Operating expenses (excluding D&amp;A)</x:v>
      </x:c>
      <x:c r="B10" s="12" t="n">
        <x:v>32</x:v>
      </x:c>
      <x:c r="C10" s="12" t="n">
        <x:v>36</x:v>
      </x:c>
      <x:c r="D10" s="12" t="n">
        <x:v>40</x:v>
      </x:c>
    </x:row>
    <x:row r="11" ht="22" customHeight="1">
      <x:c r="A11" s="18" t="str">
        <x:v>EBITDA</x:v>
      </x:c>
      <x:c r="B11" s="19" t="n">
        <x:f>B9-B10</x:f>
        <x:v>32</x:v>
      </x:c>
      <x:c r="C11" s="19" t="n">
        <x:f>C9-C10</x:f>
        <x:v>36</x:v>
      </x:c>
      <x:c r="D11" s="19" t="n">
        <x:f>D9-D10</x:f>
        <x:v>40</x:v>
      </x:c>
    </x:row>
    <x:row r="12" ht="22" customHeight="1">
      <x:c r="A12" s="1" t="str">
        <x:v>Depreciation &amp; amortization</x:v>
      </x:c>
      <x:c r="B12" s="12" t="n">
        <x:v>4.5</x:v>
      </x:c>
      <x:c r="C12" s="12" t="n">
        <x:v>5</x:v>
      </x:c>
      <x:c r="D12" s="12" t="n">
        <x:v>6</x:v>
      </x:c>
    </x:row>
    <x:row r="13" ht="22" customHeight="1">
      <x:c r="A13" s="18" t="str">
        <x:v>EBIT</x:v>
      </x:c>
      <x:c r="B13" s="19" t="n">
        <x:f>B11-B12</x:f>
        <x:v>27.5</x:v>
      </x:c>
      <x:c r="C13" s="19" t="n">
        <x:f>C11-C12</x:f>
        <x:v>31</x:v>
      </x:c>
      <x:c r="D13" s="19" t="n">
        <x:f>D11-D12</x:f>
        <x:v>34</x:v>
      </x:c>
    </x:row>
    <x:row r="14" ht="22" customHeight="1">
      <x:c r="A14" s="1" t="str">
        <x:v>Interest expense</x:v>
      </x:c>
      <x:c r="B14" s="20" t="n">
        <x:v>0</x:v>
      </x:c>
      <x:c r="C14" s="20" t="n">
        <x:v>0</x:v>
      </x:c>
      <x:c r="D14" s="20" t="n">
        <x:v>0</x:v>
      </x:c>
    </x:row>
    <x:row r="15" ht="22" customHeight="1">
      <x:c r="A15" s="18" t="str">
        <x:v>Earnings before tax</x:v>
      </x:c>
      <x:c r="B15" s="19" t="n">
        <x:f>B13-B14</x:f>
        <x:v>27.5</x:v>
      </x:c>
      <x:c r="C15" s="19" t="n">
        <x:f>C13-C14</x:f>
        <x:v>31</x:v>
      </x:c>
      <x:c r="D15" s="19" t="n">
        <x:f>D13-D14</x:f>
        <x:v>34</x:v>
      </x:c>
    </x:row>
    <x:row r="16" ht="22" customHeight="1">
      <x:c r="A16" s="1" t="str">
        <x:v>Cash taxes</x:v>
      </x:c>
      <x:c r="B16" s="21" t="n">
        <x:v>6.875</x:v>
      </x:c>
      <x:c r="C16" s="21" t="n">
        <x:v>7.75</x:v>
      </x:c>
      <x:c r="D16" s="21" t="n">
        <x:v>8.5</x:v>
      </x:c>
    </x:row>
    <x:row r="17" ht="22" customHeight="1">
      <x:c r="A17" s="18" t="str">
        <x:v>Net income</x:v>
      </x:c>
      <x:c r="B17" s="19" t="n">
        <x:f>B15-B16</x:f>
        <x:v>20.625</x:v>
      </x:c>
      <x:c r="C17" s="19" t="n">
        <x:f>C15-C16</x:f>
        <x:v>23.25</x:v>
      </x:c>
      <x:c r="D17" s="19" t="n">
        <x:f>D15-D16</x:f>
        <x:v>25.5</x:v>
      </x:c>
    </x:row>
    <x:row r="18" ht="22" customHeight="1">
      <x:c r="A18" s="1"/>
      <x:c r="B18" s="1"/>
      <x:c r="C18" s="1"/>
      <x:c r="D18" s="1"/>
    </x:row>
    <x:row r="19" ht="22" customHeight="1">
      <x:c r="A19" s="1"/>
      <x:c r="B19" s="1"/>
      <x:c r="C19" s="1"/>
      <x:c r="D19" s="1"/>
    </x:row>
    <x:row r="20" ht="22" customHeight="1">
      <x:c r="A20" s="1"/>
      <x:c r="B20" s="1"/>
      <x:c r="C20" s="1"/>
      <x:c r="D20" s="1"/>
    </x:row>
    <x:row r="21" ht="22" customHeight="1">
      <x:c r="A21" s="1" t="str">
        <x:v>How to use</x:v>
      </x:c>
      <x:c r="B21" s="22" t="str">
        <x:v>Copy B7:D8, then B10:D10, B12:D12, B14:D14 and B16:D16 into the same cells in the app.</x:v>
      </x:c>
      <x:c r="C21" s="22"/>
      <x:c r="D21" s="22"/>
    </x:row>
    <x:row r="22" ht="22" customHeight="1">
      <x:c r="A22" s="1"/>
      <x:c r="B22" s="22"/>
      <x:c r="C22" s="22"/>
      <x:c r="D22" s="22"/>
    </x:row>
    <x:row r="23" ht="22" customHeight="1">
      <x:c r="A23" s="1"/>
      <x:c r="B23" s="1"/>
      <x:c r="C23" s="1"/>
      <x:c r="D23" s="1"/>
    </x:row>
    <x:row r="24" ht="22" customHeight="1">
      <x:c r="A24" s="1" t="str">
        <x:v>Expenses</x:v>
      </x:c>
      <x:c r="B24" s="22" t="str">
        <x:v>All expenses are positive amounts. Enter zero interest rather than leaving cells blank.</x:v>
      </x:c>
      <x:c r="C24" s="22"/>
      <x:c r="D24" s="22"/>
    </x:row>
    <x:row r="25" ht="22" customHeight="1">
      <x:c r="A25" s="1"/>
      <x:c r="B25" s="22"/>
      <x:c r="C25" s="22"/>
      <x:c r="D25" s="22"/>
    </x:row>
    <x:row r="26" ht="22" customHeight="1">
      <x:c r="A26" s="1"/>
      <x:c r="B26" s="1"/>
      <x:c r="C26" s="1"/>
      <x:c r="D26" s="1"/>
    </x:row>
    <x:row r="27" ht="22" customHeight="1">
      <x:c r="A27" s="1" t="str">
        <x:v>History</x:v>
      </x:c>
      <x:c r="B27" s="22" t="str">
        <x:v>Gross profit, EBITDA, EBIT, EBT and net income are calculated from source data.</x:v>
      </x:c>
      <x:c r="C27" s="22"/>
      <x:c r="D27" s="22"/>
    </x:row>
    <x:row r="28" ht="22" customHeight="1">
      <x:c r="A28" s="1"/>
      <x:c r="B28" s="22"/>
      <x:c r="C28" s="22"/>
      <x:c r="D28" s="22"/>
    </x:row>
    <x:row r="29" ht="22" customHeight="1">
      <x:c r="A29" s="1"/>
      <x:c r="B29" s="1"/>
      <x:c r="C29" s="1"/>
      <x:c r="D29" s="1"/>
    </x:row>
    <x:row r="30" ht="22" customHeight="1">
      <x:c r="A30" s="1" t="str">
        <x:v>Source</x:v>
      </x:c>
      <x:c r="B30" s="22" t="str">
        <x:v>All values are invented for CedarPack. They are not taken from ValueCo or a real company.</x:v>
      </x:c>
      <x:c r="C30" s="22"/>
      <x:c r="D30" s="22"/>
    </x:row>
    <x:row r="31" ht="22" customHeight="1">
      <x:c r="A31" s="1"/>
      <x:c r="B31" s="22"/>
      <x:c r="C31" s="22"/>
      <x:c r="D31" s="22"/>
    </x:row>
    <x:row r="32" ht="22" customHeight="1">
      <x:c r="A32" s="1"/>
      <x:c r="B32" s="1"/>
      <x:c r="C32" s="1"/>
      <x:c r="D32" s="1"/>
    </x:row>
    <x:row r="33" ht="22" customHeight="1">
      <x:c r="A33" s="1" t="str">
        <x:v>Course method</x:v>
      </x:c>
      <x:c r="B33" s="22" t="str">
        <x:v>Rosenbaum &amp; Pearl, Investment Banking, Chapter 5: five-stage LBO workflow.</x:v>
      </x:c>
      <x:c r="C33" s="22"/>
      <x:c r="D33" s="22"/>
    </x:row>
    <x:row r="34" ht="22" customHeight="1">
      <x:c r="A34" s="1"/>
      <x:c r="B34" s="22"/>
      <x:c r="C34" s="22"/>
      <x:c r="D34" s="22"/>
    </x:row>
    <x:row r="35" ht="22" customHeight="1">
      <x:c r="A35" s="1"/>
      <x:c r="B35" s="1"/>
      <x:c r="C35" s="1"/>
      <x:c r="D35" s="1"/>
    </x:row>
    <x:row r="36" ht="22" customHeight="1">
      <x:c r="A36" s="1"/>
      <x:c r="B36" s="1"/>
      <x:c r="C36" s="1"/>
      <x:c r="D36" s="1"/>
    </x:row>
    <x:row r="37" ht="22" customHeight="1">
      <x:c r="A37" s="1"/>
      <x:c r="B37" s="1"/>
      <x:c r="C37" s="1"/>
      <x:c r="D37" s="1"/>
    </x:row>
    <x:row r="38" ht="22" customHeight="1">
      <x:c r="A38" s="1"/>
      <x:c r="B38" s="1"/>
      <x:c r="C38" s="1"/>
      <x:c r="D38" s="1"/>
    </x:row>
    <x:row r="39" ht="22" customHeight="1">
      <x:c r="A39" s="1"/>
      <x:c r="B39" s="1"/>
      <x:c r="C39" s="1"/>
      <x:c r="D39" s="1"/>
    </x:row>
  </x:sheetData>
  <x:mergeCells>
    <x:mergeCell ref="B21:D22"/>
    <x:mergeCell ref="B24:D25"/>
    <x:mergeCell ref="B27:D28"/>
    <x:mergeCell ref="B30:D31"/>
    <x:mergeCell ref="B33:D3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" hidden="0" customWidth="1"/>
    <x:col min="2" max="2" width="4" hidden="0" customWidth="1"/>
    <x:col min="3" max="3" width="4" hidden="0" customWidth="1"/>
    <x:col min="4" max="4" width="4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28" customHeight="1">
      <x:c r="A2" s="3" t="str">
        <x:v>CedarPack forecast assumptions</x:v>
      </x:c>
      <x:c r="B2" s="3"/>
      <x:c r="C2" s="3"/>
      <x:c r="D2" s="3"/>
      <x:c r="E2" s="3"/>
      <x:c r="F2" s="3"/>
      <x:c r="G2" s="3"/>
      <x:c r="H2" s="3"/>
      <x:c r="I2" s="3"/>
    </x:row>
    <x:row r="3" ht="22" customHeight="1">
      <x:c r="A3" s="4" t="str">
        <x:v>INR crore. Years ended 31 March. Fictional classroom case.</x:v>
      </x:c>
      <x:c r="B3" s="4"/>
      <x:c r="C3" s="4"/>
      <x:c r="D3" s="4"/>
      <x:c r="E3" s="4"/>
      <x:c r="F3" s="4"/>
      <x:c r="G3" s="4"/>
      <x:c r="H3" s="4"/>
      <x:c r="I3" s="4"/>
    </x:row>
    <x:row r="4" ht="22" customHeight="1">
      <x:c r="A4" s="1"/>
      <x:c r="B4" s="1"/>
      <x:c r="C4" s="1"/>
      <x:c r="D4" s="1"/>
      <x:c r="E4" s="1"/>
      <x:c r="F4" s="1"/>
      <x:c r="G4" s="1"/>
      <x:c r="H4" s="1"/>
      <x:c r="I4" s="1"/>
    </x:row>
    <x:row r="5" ht="22" customHeight="1">
      <x:c r="A5" s="1"/>
      <x:c r="B5" s="1"/>
      <x:c r="C5" s="1"/>
      <x:c r="D5" s="1"/>
      <x:c r="E5" s="1"/>
      <x:c r="F5" s="1"/>
      <x:c r="G5" s="1"/>
      <x:c r="H5" s="1"/>
      <x:c r="I5" s="1"/>
    </x:row>
    <x:row r="6" ht="25" customHeight="1">
      <x:c r="A6" s="8" t="str">
        <x:v>Line item</x:v>
      </x:c>
      <x:c r="B6" s="8"/>
      <x:c r="C6" s="8"/>
      <x:c r="D6" s="8"/>
      <x:c r="E6" s="25" t="n">
        <x:v>46477</x:v>
      </x:c>
      <x:c r="F6" s="25" t="n">
        <x:v>46843</x:v>
      </x:c>
      <x:c r="G6" s="25" t="n">
        <x:v>47208</x:v>
      </x:c>
      <x:c r="H6" s="25" t="n">
        <x:v>47573</x:v>
      </x:c>
      <x:c r="I6" s="25" t="n">
        <x:v>47938</x:v>
      </x:c>
    </x:row>
    <x:row r="7" ht="22" customHeight="1">
      <x:c r="A7" s="1"/>
      <x:c r="B7" s="1"/>
      <x:c r="C7" s="1"/>
      <x:c r="D7" s="1"/>
      <x:c r="E7" s="1"/>
      <x:c r="F7" s="1"/>
      <x:c r="G7" s="1"/>
      <x:c r="H7" s="1"/>
      <x:c r="I7" s="1"/>
    </x:row>
    <x:row r="8" ht="22" customHeight="1">
      <x:c r="A8" s="22" t="str">
        <x:v>Copy E20:I28 into the same range in the app. Each year has its own editable assumptions.</x:v>
      </x:c>
      <x:c r="B8" s="22"/>
      <x:c r="C8" s="22"/>
      <x:c r="D8" s="22"/>
      <x:c r="E8" s="22"/>
      <x:c r="F8" s="22"/>
      <x:c r="G8" s="22"/>
      <x:c r="H8" s="22"/>
      <x:c r="I8" s="22"/>
    </x:row>
    <x:row r="9" ht="22" customHeight="1">
      <x:c r="A9" s="22"/>
      <x:c r="B9" s="22"/>
      <x:c r="C9" s="22"/>
      <x:c r="D9" s="22"/>
      <x:c r="E9" s="22"/>
      <x:c r="F9" s="22"/>
      <x:c r="G9" s="22"/>
      <x:c r="H9" s="22"/>
      <x:c r="I9" s="22"/>
    </x:row>
    <x:row r="10" ht="22" customHeight="1">
      <x:c r="A10" s="22" t="str">
        <x:v>Percentage inputs use decimals: 8% equals 0.08. Do not enter 8 for an 8% growth rate.</x:v>
      </x:c>
      <x:c r="B10" s="22"/>
      <x:c r="C10" s="22"/>
      <x:c r="D10" s="22"/>
      <x:c r="E10" s="22"/>
      <x:c r="F10" s="22"/>
      <x:c r="G10" s="22"/>
      <x:c r="H10" s="22"/>
      <x:c r="I10" s="22"/>
    </x:row>
    <x:row r="11" ht="22" customHeight="1">
      <x:c r="A11" s="22"/>
      <x:c r="B11" s="22"/>
      <x:c r="C11" s="22"/>
      <x:c r="D11" s="22"/>
      <x:c r="E11" s="22"/>
      <x:c r="F11" s="22"/>
      <x:c r="G11" s="22"/>
      <x:c r="H11" s="22"/>
      <x:c r="I11" s="22"/>
    </x:row>
    <x:row r="12" ht="22" customHeight="1">
      <x:c r="A12" s="22" t="str">
        <x:v>COGS and operating expenses are separate. Operating expenses exclude D&amp;A.</x:v>
      </x:c>
      <x:c r="B12" s="22"/>
      <x:c r="C12" s="22"/>
      <x:c r="D12" s="22"/>
      <x:c r="E12" s="22"/>
      <x:c r="F12" s="22"/>
      <x:c r="G12" s="22"/>
      <x:c r="H12" s="22"/>
      <x:c r="I12" s="22"/>
    </x:row>
    <x:row r="13" ht="22" customHeight="1">
      <x:c r="A13" s="22"/>
      <x:c r="B13" s="22"/>
      <x:c r="C13" s="22"/>
      <x:c r="D13" s="22"/>
      <x:c r="E13" s="22"/>
      <x:c r="F13" s="22"/>
      <x:c r="G13" s="22"/>
      <x:c r="H13" s="22"/>
      <x:c r="I13" s="22"/>
    </x:row>
    <x:row r="14" ht="22" customHeight="1">
      <x:c r="A14" s="22" t="str">
        <x:v>NWC is an operating asset balance. Cash flow deducts its annual increase.</x:v>
      </x:c>
      <x:c r="B14" s="22"/>
      <x:c r="C14" s="22"/>
      <x:c r="D14" s="22"/>
      <x:c r="E14" s="22"/>
      <x:c r="F14" s="22"/>
      <x:c r="G14" s="22"/>
      <x:c r="H14" s="22"/>
      <x:c r="I14" s="22"/>
    </x:row>
    <x:row r="15" ht="22" customHeight="1">
      <x:c r="A15" s="22"/>
      <x:c r="B15" s="22"/>
      <x:c r="C15" s="22"/>
      <x:c r="D15" s="22"/>
      <x:c r="E15" s="22"/>
      <x:c r="F15" s="22"/>
      <x:c r="G15" s="22"/>
      <x:c r="H15" s="22"/>
      <x:c r="I15" s="22"/>
    </x:row>
    <x:row r="16" ht="22" customHeight="1">
      <x:c r="A16" s="22" t="str">
        <x:v>Interest uses beginning debt. Amortization uses original debt and is capped at remaining debt.</x:v>
      </x:c>
      <x:c r="B16" s="22"/>
      <x:c r="C16" s="22"/>
      <x:c r="D16" s="22"/>
      <x:c r="E16" s="22"/>
      <x:c r="F16" s="22"/>
      <x:c r="G16" s="22"/>
      <x:c r="H16" s="22"/>
      <x:c r="I16" s="22"/>
    </x:row>
    <x:row r="17" ht="22" customHeight="1">
      <x:c r="A17" s="22"/>
      <x:c r="B17" s="22"/>
      <x:c r="C17" s="22"/>
      <x:c r="D17" s="22"/>
      <x:c r="E17" s="22"/>
      <x:c r="F17" s="22"/>
      <x:c r="G17" s="22"/>
      <x:c r="H17" s="22"/>
      <x:c r="I17" s="22"/>
    </x:row>
    <x:row r="18" ht="22" customHeight="1">
      <x:c r="A18" s="1"/>
      <x:c r="B18" s="1"/>
      <x:c r="C18" s="1"/>
      <x:c r="D18" s="1"/>
      <x:c r="E18" s="1"/>
      <x:c r="F18" s="1"/>
      <x:c r="G18" s="1"/>
      <x:c r="H18" s="1"/>
      <x:c r="I18" s="1"/>
    </x:row>
    <x:row r="19" ht="22" customHeight="1">
      <x:c r="A19" s="1"/>
      <x:c r="B19" s="1"/>
      <x:c r="C19" s="1"/>
      <x:c r="D19" s="1"/>
      <x:c r="E19" s="1"/>
      <x:c r="F19" s="1"/>
      <x:c r="G19" s="1"/>
      <x:c r="H19" s="1"/>
      <x:c r="I19" s="1"/>
    </x:row>
    <x:row r="20" ht="22" customHeight="1">
      <x:c r="A20" s="1" t="str">
        <x:v>Revenue growth</x:v>
      </x:c>
      <x:c r="B20" s="1"/>
      <x:c r="C20" s="1"/>
      <x:c r="D20" s="1"/>
      <x:c r="E20" s="27" t="n">
        <x:v>0.08</x:v>
      </x:c>
      <x:c r="F20" s="27" t="n">
        <x:v>0.08</x:v>
      </x:c>
      <x:c r="G20" s="27" t="n">
        <x:v>0.08</x:v>
      </x:c>
      <x:c r="H20" s="27" t="n">
        <x:v>0.08</x:v>
      </x:c>
      <x:c r="I20" s="27" t="n">
        <x:v>0.08</x:v>
      </x:c>
    </x:row>
    <x:row r="21" ht="22" customHeight="1">
      <x:c r="A21" s="1" t="str">
        <x:v>COGS / revenue</x:v>
      </x:c>
      <x:c r="B21" s="1"/>
      <x:c r="C21" s="1"/>
      <x:c r="D21" s="1"/>
      <x:c r="E21" s="27" t="n">
        <x:v>0.6</x:v>
      </x:c>
      <x:c r="F21" s="27" t="n">
        <x:v>0.6</x:v>
      </x:c>
      <x:c r="G21" s="27" t="n">
        <x:v>0.6</x:v>
      </x:c>
      <x:c r="H21" s="27" t="n">
        <x:v>0.6</x:v>
      </x:c>
      <x:c r="I21" s="27" t="n">
        <x:v>0.6</x:v>
      </x:c>
    </x:row>
    <x:row r="22" ht="22" customHeight="1">
      <x:c r="A22" s="1" t="str">
        <x:v>Operating expenses / revenue</x:v>
      </x:c>
      <x:c r="B22" s="1"/>
      <x:c r="C22" s="1"/>
      <x:c r="D22" s="1"/>
      <x:c r="E22" s="27" t="n">
        <x:v>0.2</x:v>
      </x:c>
      <x:c r="F22" s="27" t="n">
        <x:v>0.2</x:v>
      </x:c>
      <x:c r="G22" s="27" t="n">
        <x:v>0.2</x:v>
      </x:c>
      <x:c r="H22" s="27" t="n">
        <x:v>0.2</x:v>
      </x:c>
      <x:c r="I22" s="27" t="n">
        <x:v>0.2</x:v>
      </x:c>
    </x:row>
    <x:row r="23" ht="22" customHeight="1">
      <x:c r="A23" s="1" t="str">
        <x:v>D&amp;A / revenue</x:v>
      </x:c>
      <x:c r="B23" s="1"/>
      <x:c r="C23" s="1"/>
      <x:c r="D23" s="1"/>
      <x:c r="E23" s="27" t="n">
        <x:v>0.03</x:v>
      </x:c>
      <x:c r="F23" s="27" t="n">
        <x:v>0.03</x:v>
      </x:c>
      <x:c r="G23" s="27" t="n">
        <x:v>0.03</x:v>
      </x:c>
      <x:c r="H23" s="27" t="n">
        <x:v>0.03</x:v>
      </x:c>
      <x:c r="I23" s="27" t="n">
        <x:v>0.03</x:v>
      </x:c>
    </x:row>
    <x:row r="24" ht="22" customHeight="1">
      <x:c r="A24" s="1" t="str">
        <x:v>Capital expenditure / revenue</x:v>
      </x:c>
      <x:c r="B24" s="1"/>
      <x:c r="C24" s="1"/>
      <x:c r="D24" s="1"/>
      <x:c r="E24" s="27" t="n">
        <x:v>0.04</x:v>
      </x:c>
      <x:c r="F24" s="27" t="n">
        <x:v>0.04</x:v>
      </x:c>
      <x:c r="G24" s="27" t="n">
        <x:v>0.04</x:v>
      </x:c>
      <x:c r="H24" s="27" t="n">
        <x:v>0.04</x:v>
      </x:c>
      <x:c r="I24" s="27" t="n">
        <x:v>0.04</x:v>
      </x:c>
    </x:row>
    <x:row r="25" ht="22" customHeight="1">
      <x:c r="A25" s="1" t="str">
        <x:v>Net working capital / revenue</x:v>
      </x:c>
      <x:c r="B25" s="1"/>
      <x:c r="C25" s="1"/>
      <x:c r="D25" s="1"/>
      <x:c r="E25" s="27" t="n">
        <x:v>0.1</x:v>
      </x:c>
      <x:c r="F25" s="27" t="n">
        <x:v>0.1</x:v>
      </x:c>
      <x:c r="G25" s="27" t="n">
        <x:v>0.1</x:v>
      </x:c>
      <x:c r="H25" s="27" t="n">
        <x:v>0.1</x:v>
      </x:c>
      <x:c r="I25" s="27" t="n">
        <x:v>0.1</x:v>
      </x:c>
    </x:row>
    <x:row r="26" ht="22" customHeight="1">
      <x:c r="A26" s="1" t="str">
        <x:v>Cash tax rate</x:v>
      </x:c>
      <x:c r="B26" s="1"/>
      <x:c r="C26" s="1"/>
      <x:c r="D26" s="1"/>
      <x:c r="E26" s="27" t="n">
        <x:v>0.25</x:v>
      </x:c>
      <x:c r="F26" s="27" t="n">
        <x:v>0.25</x:v>
      </x:c>
      <x:c r="G26" s="27" t="n">
        <x:v>0.25</x:v>
      </x:c>
      <x:c r="H26" s="27" t="n">
        <x:v>0.25</x:v>
      </x:c>
      <x:c r="I26" s="27" t="n">
        <x:v>0.25</x:v>
      </x:c>
    </x:row>
    <x:row r="27" ht="22" customHeight="1">
      <x:c r="A27" s="1" t="str">
        <x:v>Loan interest rate</x:v>
      </x:c>
      <x:c r="B27" s="1"/>
      <x:c r="C27" s="1"/>
      <x:c r="D27" s="1"/>
      <x:c r="E27" s="27" t="n">
        <x:v>0.1</x:v>
      </x:c>
      <x:c r="F27" s="27" t="n">
        <x:v>0.1</x:v>
      </x:c>
      <x:c r="G27" s="27" t="n">
        <x:v>0.1</x:v>
      </x:c>
      <x:c r="H27" s="27" t="n">
        <x:v>0.1</x:v>
      </x:c>
      <x:c r="I27" s="27" t="n">
        <x:v>0.1</x:v>
      </x:c>
    </x:row>
    <x:row r="28" ht="22" customHeight="1">
      <x:c r="A28" s="1" t="str">
        <x:v>Amortization / original principal</x:v>
      </x:c>
      <x:c r="B28" s="1"/>
      <x:c r="C28" s="1"/>
      <x:c r="D28" s="1"/>
      <x:c r="E28" s="27" t="n">
        <x:v>0.1</x:v>
      </x:c>
      <x:c r="F28" s="27" t="n">
        <x:v>0.1</x:v>
      </x:c>
      <x:c r="G28" s="27" t="n">
        <x:v>0.1</x:v>
      </x:c>
      <x:c r="H28" s="27" t="n">
        <x:v>0.1</x:v>
      </x:c>
      <x:c r="I28" s="27" t="n">
        <x:v>0.1</x:v>
      </x:c>
    </x:row>
    <x:row r="29" ht="22" customHeight="1">
      <x:c r="A29" s="1"/>
      <x:c r="B29" s="1"/>
      <x:c r="C29" s="1"/>
      <x:c r="D29" s="1"/>
      <x:c r="E29" s="1"/>
      <x:c r="F29" s="1"/>
      <x:c r="G29" s="1"/>
      <x:c r="H29" s="1"/>
      <x:c r="I29" s="1"/>
    </x:row>
    <x:row r="30" ht="22" customHeight="1">
      <x:c r="A30" s="1"/>
      <x:c r="B30" s="1"/>
      <x:c r="C30" s="1"/>
      <x:c r="D30" s="1"/>
      <x:c r="E30" s="1"/>
      <x:c r="F30" s="1"/>
      <x:c r="G30" s="1"/>
      <x:c r="H30" s="1"/>
      <x:c r="I30" s="1"/>
    </x:row>
    <x:row r="31" ht="22" customHeight="1">
      <x:c r="A31" s="1"/>
      <x:c r="B31" s="1"/>
      <x:c r="C31" s="1"/>
      <x:c r="D31" s="1"/>
      <x:c r="E31" s="1"/>
      <x:c r="F31" s="1"/>
      <x:c r="G31" s="1"/>
      <x:c r="H31" s="1"/>
      <x:c r="I31" s="1"/>
    </x:row>
  </x:sheetData>
  <x:mergeCells>
    <x:mergeCell ref="A8:I9"/>
    <x:mergeCell ref="A10:I11"/>
    <x:mergeCell ref="A12:I13"/>
    <x:mergeCell ref="A14:I15"/>
    <x:mergeCell ref="A16:I17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" hidden="0" customWidth="1"/>
    <x:col min="2" max="2" width="15" hidden="0" customWidth="1"/>
    <x:col min="3" max="3" width="19" hidden="0" customWidth="1"/>
  </x:cols>
  <x:sheetData>
    <x:row r="1" ht="22" customHeight="1">
      <x:c r="A1" s="1"/>
      <x:c r="B1" s="1"/>
      <x:c r="C1" s="1"/>
    </x:row>
    <x:row r="2" ht="28" customHeight="1">
      <x:c r="A2" s="3" t="str">
        <x:v>CedarPack transaction inputs</x:v>
      </x:c>
      <x:c r="B2" s="3"/>
      <x:c r="C2" s="3"/>
    </x:row>
    <x:row r="3" ht="22" customHeight="1">
      <x:c r="A3" s="4" t="str">
        <x:v>INR crore. Years ended 31 March. Fictional classroom case.</x:v>
      </x:c>
      <x:c r="B3" s="4"/>
      <x:c r="C3" s="4"/>
    </x:row>
    <x:row r="4" ht="22" customHeight="1">
      <x:c r="A4" s="1"/>
      <x:c r="B4" s="1"/>
      <x:c r="C4" s="1"/>
    </x:row>
    <x:row r="5" ht="22" customHeight="1">
      <x:c r="A5" s="1"/>
      <x:c r="B5" s="1"/>
      <x:c r="C5" s="1"/>
    </x:row>
    <x:row r="6" ht="25" customHeight="1">
      <x:c r="A6" s="8" t="str">
        <x:v>Assumption</x:v>
      </x:c>
      <x:c r="B6" s="8" t="str">
        <x:v>Value</x:v>
      </x:c>
      <x:c r="C6" s="8" t="str">
        <x:v>Model cell</x:v>
      </x:c>
    </x:row>
    <x:row r="7" ht="22" customHeight="1">
      <x:c r="A7" s="1" t="str">
        <x:v>Entry EV / EBITDA</x:v>
      </x:c>
      <x:c r="B7" s="28" t="n">
        <x:v>8</x:v>
      </x:c>
      <x:c r="C7" s="1" t="str">
        <x:v>B33</x:v>
      </x:c>
    </x:row>
    <x:row r="8" ht="22" customHeight="1">
      <x:c r="A8" s="1" t="str">
        <x:v>Debt / entry EBITDA</x:v>
      </x:c>
      <x:c r="B8" s="28" t="n">
        <x:v>3</x:v>
      </x:c>
      <x:c r="C8" s="1" t="str">
        <x:v>B35</x:v>
      </x:c>
    </x:row>
    <x:row r="9" ht="22" customHeight="1">
      <x:c r="A9" s="1" t="str">
        <x:v>One-time transaction fees</x:v>
      </x:c>
      <x:c r="B9" s="29" t="n">
        <x:v>4</x:v>
      </x:c>
      <x:c r="C9" s="1" t="str">
        <x:v>B37</x:v>
      </x:c>
    </x:row>
    <x:row r="10" ht="22" customHeight="1">
      <x:c r="A10" s="1" t="str">
        <x:v>Exit EV / EBITDA</x:v>
      </x:c>
      <x:c r="B10" s="28" t="n">
        <x:v>8</x:v>
      </x:c>
      <x:c r="C10" s="1" t="str">
        <x:v>B42</x:v>
      </x:c>
    </x:row>
    <x:row r="11" ht="22" customHeight="1">
      <x:c r="A11" s="1" t="str">
        <x:v>Holding period (years)</x:v>
      </x:c>
      <x:c r="B11" s="30" t="n">
        <x:v>5</x:v>
      </x:c>
      <x:c r="C11" s="1" t="str">
        <x:v>B43</x:v>
      </x:c>
    </x:row>
    <x:row r="12" ht="22" customHeight="1">
      <x:c r="A12" s="1" t="str">
        <x:v>Opening net working capital</x:v>
      </x:c>
      <x:c r="B12" s="29" t="n">
        <x:v>20</x:v>
      </x:c>
      <x:c r="C12" s="1" t="str">
        <x:v>B44</x:v>
      </x:c>
    </x:row>
    <x:row r="13" ht="22" customHeight="1">
      <x:c r="A13" s="1" t="str">
        <x:v>Opening cash</x:v>
      </x:c>
      <x:c r="B13" s="29" t="n">
        <x:v>0</x:v>
      </x:c>
      <x:c r="C13" s="1" t="str">
        <x:v>B45</x:v>
      </x:c>
    </x:row>
    <x:row r="14" ht="22" customHeight="1">
      <x:c r="A14" s="1" t="str">
        <x:v>Downside exit EV / EBITDA</x:v>
      </x:c>
      <x:c r="B14" s="28" t="n">
        <x:v>7</x:v>
      </x:c>
      <x:c r="C14" s="1" t="str">
        <x:v>B74</x:v>
      </x:c>
    </x:row>
    <x:row r="15" ht="22" customHeight="1">
      <x:c r="A15" s="1"/>
      <x:c r="B15" s="1"/>
      <x:c r="C15" s="1"/>
    </x:row>
    <x:row r="16" ht="22" customHeight="1">
      <x:c r="A16" s="1"/>
      <x:c r="B16" s="1"/>
      <x:c r="C16" s="1"/>
    </x:row>
    <x:row r="17" ht="22" customHeight="1">
      <x:c r="A17" s="22" t="str">
        <x:v>Purchase at 8.0x EBITDA with debt at 3.0x EBITDA. The sponsor funds the remaining purchase price and INR 4 crore of fees. Read Case brief for all timing and cash assumptions.</x:v>
      </x:c>
      <x:c r="B17" s="22"/>
      <x:c r="C17" s="22"/>
    </x:row>
    <x:row r="18" ht="22" customHeight="1">
      <x:c r="A18" s="22"/>
      <x:c r="B18" s="22"/>
      <x:c r="C18" s="22"/>
    </x:row>
    <x:row r="19" ht="22" customHeight="1">
      <x:c r="A19" s="22"/>
      <x:c r="B19" s="22"/>
      <x:c r="C19" s="22"/>
    </x:row>
  </x:sheetData>
  <x:mergeCells>
    <x:mergeCell ref="A17:C19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05" hidden="0" customWidth="1"/>
  </x:cols>
  <x:sheetData>
    <x:row r="1" ht="22" customHeight="1">
      <x:c r="A1" s="1"/>
      <x:c r="B1" s="1"/>
    </x:row>
    <x:row r="2" ht="28" customHeight="1">
      <x:c r="A2" s="3" t="str">
        <x:v>CedarPack case conventions</x:v>
      </x:c>
      <x:c r="B2" s="3"/>
    </x:row>
    <x:row r="3" ht="22" customHeight="1">
      <x:c r="A3" s="4" t="str">
        <x:v>INR crore. Years ended 31 March. Fictional classroom case.</x:v>
      </x:c>
      <x:c r="B3" s="4"/>
    </x:row>
    <x:row r="4" ht="22" customHeight="1">
      <x:c r="A4" s="1"/>
      <x:c r="B4" s="1"/>
    </x:row>
    <x:row r="5" ht="22" customHeight="1">
      <x:c r="A5" s="1"/>
      <x:c r="B5" s="1"/>
    </x:row>
    <x:row r="6" ht="25" customHeight="1">
      <x:c r="A6" s="8" t="str">
        <x:v>Topic</x:v>
      </x:c>
      <x:c r="B6" s="8" t="str">
        <x:v>Assumption or convention</x:v>
      </x:c>
    </x:row>
    <x:row r="7" ht="44" customHeight="1">
      <x:c r="A7" s="22" t="str">
        <x:v>Close date</x:v>
      </x:c>
      <x:c r="B7" s="22" t="str">
        <x:v>31 March 2026, after FY2026 results</x:v>
      </x:c>
    </x:row>
    <x:row r="8" ht="44" customHeight="1">
      <x:c r="A8" s="22" t="str">
        <x:v>Exit date</x:v>
      </x:c>
      <x:c r="B8" s="22" t="str">
        <x:v>31 March 2031, after year-end cash flow and debt repayment</x:v>
      </x:c>
    </x:row>
    <x:row r="9" ht="44" customHeight="1">
      <x:c r="A9" s="22" t="str">
        <x:v>Business</x:v>
      </x:c>
      <x:c r="B9" s="22" t="str">
        <x:v>CedarPack Industries, a fictional cardboard packaging manufacturer</x:v>
      </x:c>
    </x:row>
    <x:row r="10" ht="44" customHeight="1">
      <x:c r="A10" s="22" t="str">
        <x:v>Units</x:v>
      </x:c>
      <x:c r="B10" s="22" t="str">
        <x:v>All amounts in INR crore. All expenses and outflows entered as positive numbers.</x:v>
      </x:c>
    </x:row>
    <x:row r="11" ht="44" customHeight="1">
      <x:c r="A11" s="22" t="str">
        <x:v>Purchase</x:v>
      </x:c>
      <x:c r="B11" s="22" t="str">
        <x:v>Debt-free, cash-free acquisition. No existing debt is refinanced.</x:v>
      </x:c>
    </x:row>
    <x:row r="12" ht="44" customHeight="1">
      <x:c r="A12" s="22" t="str">
        <x:v>Fees</x:v>
      </x:c>
      <x:c r="B12" s="22" t="str">
        <x:v>INR 4 crore paid at closing and funded in uses; no tax deduction or amortization.</x:v>
      </x:c>
    </x:row>
    <x:row r="13" ht="44" customHeight="1">
      <x:c r="A13" s="22" t="str">
        <x:v>Loan</x:v>
      </x:c>
      <x:c r="B13" s="22" t="str">
        <x:v>One term loan. Interest is 10% of beginning-of-year debt, paid at year end.</x:v>
      </x:c>
    </x:row>
    <x:row r="14" ht="44" customHeight="1">
      <x:c r="A14" s="22" t="str">
        <x:v>Principal</x:v>
      </x:c>
      <x:c r="B14" s="22" t="str">
        <x:v>10% of original loan principal repaid each year, capped at beginning debt. Balloon repaid at exit.</x:v>
      </x:c>
    </x:row>
    <x:row r="15" ht="44" customHeight="1">
      <x:c r="A15" s="22" t="str">
        <x:v>Surplus cash</x:v>
      </x:c>
      <x:c r="B15" s="22" t="str">
        <x:v>No cash sweep or dividends. Cash earns no interest and accumulates until exit.</x:v>
      </x:c>
    </x:row>
    <x:row r="16" ht="44" customHeight="1">
      <x:c r="A16" s="22" t="str">
        <x:v>Opening position</x:v>
      </x:c>
      <x:c r="B16" s="22" t="str">
        <x:v>NWC of INR 20 crore is included in the acquired business. Opening cash is zero.</x:v>
      </x:c>
    </x:row>
    <x:row r="17" ht="44" customHeight="1">
      <x:c r="A17" s="22" t="str">
        <x:v>Depreciation</x:v>
      </x:c>
      <x:c r="B17" s="22" t="str">
        <x:v>Total depreciation and amortization assumed at 3% of revenue. No detailed fixed asset schedule.</x:v>
      </x:c>
    </x:row>
    <x:row r="18" ht="44" customHeight="1">
      <x:c r="A18" s="22" t="str">
        <x:v>Taxes</x:v>
      </x:c>
      <x:c r="B18" s="22" t="str">
        <x:v>25% of positive EBT. No tax refunds, loss carryforwards, or interest deductibility limits. This is a teaching assumption.</x:v>
      </x:c>
    </x:row>
    <x:row r="19" ht="44" customHeight="1">
      <x:c r="A19" s="22" t="str">
        <x:v>Simplifications</x:v>
      </x:c>
      <x:c r="B19" s="22" t="str">
        <x:v>No revolver, PIK, multiple debt tranches, goodwill, purchase accounting, full balance sheet, or exit fees.</x:v>
      </x:c>
    </x:row>
    <x:row r="20" ht="44" customHeight="1">
      <x:c r="A20" s="22" t="str">
        <x:v>Cash deficit</x:v>
      </x:c>
      <x:c r="B20" s="22" t="str">
        <x:v>Negative cash means additional funding is required. This case provides no automatic funding plug.</x:v>
      </x:c>
    </x:row>
    <x:row r="21" ht="44" customHeight="1">
      <x:c r="A21" s="22" t="str">
        <x:v>Source</x:v>
      </x:c>
      <x:c r="B21" s="22" t="str">
        <x:v>All company data and assumptions are invented for this exercise.</x:v>
      </x:c>
    </x:row>
    <x:row r="22" ht="44" customHeight="1">
      <x:c r="A22" s="22" t="str">
        <x:v>Method</x:v>
      </x:c>
      <x:c r="B22" s="22" t="str">
        <x:v>Adapted in original wording from the five-stage workflow in Rosenbaum &amp; Pearl, Investment Banking, Chapter 5.</x:v>
      </x:c>
    </x:row>
    <x:row r="23" ht="22" customHeight="1">
      <x:c r="A23" s="1"/>
      <x:c r="B23" s="1"/>
    </x:row>
    <x:row r="24" ht="22" customHeight="1">
      <x:c r="A24" s="1"/>
      <x:c r="B24" s="1"/>
    </x:row>
    <x:row r="25" ht="22" customHeight="1">
      <x:c r="A25" s="1"/>
      <x:c r="B25" s="1"/>
    </x:row>
    <x:row r="26" ht="22" customHeight="1">
      <x:c r="A26" s="1"/>
      <x:c r="B26" s="1"/>
    </x:row>
    <x:row r="27" ht="22" customHeight="1">
      <x:c r="A27" s="1"/>
      <x:c r="B27" s="1"/>
    </x:row>
    <x:row r="28" ht="22" customHeight="1">
      <x:c r="A28" s="1"/>
      <x:c r="B28" s="1"/>
    </x:row>
    <x:row r="29" ht="22" customHeight="1">
      <x:c r="A29" s="1"/>
      <x:c r="B29" s="1"/>
    </x:row>
    <x:row r="30" ht="22" customHeight="1">
      <x:c r="A30" s="1"/>
      <x:c r="B30" s="1"/>
    </x:row>
    <x:row r="31" ht="22" customHeight="1">
      <x:c r="A31" s="1"/>
      <x:c r="B31" s="1"/>
    </x:row>
    <x:row r="32" ht="22" customHeight="1">
      <x:c r="A32" s="1"/>
      <x:c r="B32" s="1"/>
    </x:row>
    <x:row r="33" ht="22" customHeight="1">
      <x:c r="A33" s="1"/>
      <x:c r="B33" s="1"/>
    </x:row>
    <x:row r="34" ht="22" customHeight="1">
      <x:c r="A34" s="1"/>
      <x:c r="B34" s="1"/>
    </x:row>
    <x:row r="35" ht="22" customHeight="1">
      <x:c r="A35" s="1"/>
      <x:c r="B35" s="1"/>
    </x:row>
    <x:row r="36" ht="22" customHeight="1">
      <x:c r="A36" s="1"/>
      <x:c r="B36" s="1"/>
    </x:row>
    <x:row r="37" ht="22" customHeight="1">
      <x:c r="A37" s="1"/>
      <x:c r="B37" s="1"/>
    </x:row>
    <x:row r="38" ht="22" customHeight="1">
      <x:c r="A38" s="1"/>
      <x:c r="B38" s="1"/>
    </x:row>
    <x:row r="39" ht="22" customHeight="1">
      <x:c r="A39" s="1"/>
      <x:c r="B39" s="1"/>
    </x:row>
  </x:sheetData>
  <x:pageMargins left="0.7" right="0.7" top="0.75" bottom="0.75" header="0.3" footer="0.3"/>
</x:worksheet>
</file>